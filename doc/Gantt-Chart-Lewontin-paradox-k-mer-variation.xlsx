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filterPrivacy="1" codeName="ThisWorkbook"/>
  <xr:revisionPtr revIDLastSave="405" documentId="8_{90B809FF-8261-4630-9C16-65A73363CDE1}" xr6:coauthVersionLast="47" xr6:coauthVersionMax="47" xr10:uidLastSave="{966DB299-6B23-4625-BC62-622759D52D52}"/>
  <bookViews>
    <workbookView xWindow="-120" yWindow="-120" windowWidth="29040" windowHeight="15720" xr2:uid="{00000000-000D-0000-FFFF-FFFF00000000}"/>
  </bookViews>
  <sheets>
    <sheet name="ProjectSchedule" sheetId="11" r:id="rId1"/>
    <sheet name="Deliverables" sheetId="13" r:id="rId2"/>
    <sheet name="About" sheetId="12" r:id="rId3"/>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9" i="11" l="1"/>
  <c r="H33" i="11"/>
  <c r="H27" i="11"/>
  <c r="H40" i="11"/>
  <c r="H7" i="11"/>
  <c r="H28" i="11" l="1"/>
  <c r="H41" i="11"/>
  <c r="F10" i="11" l="1"/>
  <c r="H21" i="11"/>
  <c r="F9" i="11"/>
  <c r="E10" i="11" s="1"/>
  <c r="I5" i="11"/>
  <c r="H44" i="11"/>
  <c r="H35" i="11"/>
  <c r="H16" i="11"/>
  <c r="H13" i="11"/>
  <c r="H8" i="11"/>
  <c r="H17" i="11" l="1"/>
  <c r="H9" i="11"/>
  <c r="E11" i="11"/>
  <c r="F11" i="11" s="1"/>
  <c r="I6" i="11"/>
  <c r="H34" i="11" l="1"/>
  <c r="H10" i="11"/>
  <c r="H22" i="11"/>
  <c r="H14" i="11"/>
  <c r="J5" i="11"/>
  <c r="K5" i="11" s="1"/>
  <c r="L5" i="11" s="1"/>
  <c r="M5" i="11" s="1"/>
  <c r="N5" i="11" s="1"/>
  <c r="O5" i="11" s="1"/>
  <c r="P5" i="11" s="1"/>
  <c r="I4" i="11"/>
  <c r="H15" i="11" l="1"/>
  <c r="H11"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<sst xmlns="http://schemas.openxmlformats.org/spreadsheetml/2006/main" count="117" uniqueCount="83">
  <si>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</si>
  <si>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</si>
  <si>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</si>
  <si>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</si>
  <si>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</si>
  <si>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</si>
  <si>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</si>
  <si>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</si>
  <si>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</si>
  <si>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</si>
  <si>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</si>
  <si>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</si>
  <si>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</si>
  <si>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</si>
  <si>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</si>
  <si>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</si>
  <si>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</si>
  <si>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</si>
  <si>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</si>
  <si>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</si>
  <si>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</si>
  <si>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</si>
  <si>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</si>
  <si>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</si>
  <si>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</si>
  <si>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</si>
  <si>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This row marks the end of the Project Schedule. DO NOT enter anything in this row. 
Insert new rows ABOVE this one to continue building out your Project Schedule.</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</si>
  <si>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</si>
  <si>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</si>
  <si>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</si>
  <si>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</si>
  <si>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</si>
  <si>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</si>
  <si>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</si>
  <si>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</si>
  <si>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</si>
  <si>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</si>
  <si>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Miles Roberts</t>
  </si>
  <si>
    <t>Josephs lab</t>
  </si>
  <si>
    <t>Develop research plan</t>
  </si>
  <si>
    <t>Assemble data</t>
  </si>
  <si>
    <t>Miles</t>
  </si>
  <si>
    <t>Initial Analysis</t>
  </si>
  <si>
    <t>Check distributions of each variable</t>
  </si>
  <si>
    <t>Extract four-fold degenerate sites with degenotate</t>
  </si>
  <si>
    <t>Deliverables:</t>
  </si>
  <si>
    <t>k-mer counts in a panel of plant species</t>
  </si>
  <si>
    <t>genome-wide measures of neutral genetic variation across plant species</t>
  </si>
  <si>
    <t>genome-wide neutral SNP genetic diversity ~ population size</t>
  </si>
  <si>
    <t>genome-wide neutral k-mer genetic diversity ~ population size</t>
  </si>
  <si>
    <t>Choose diversity metrics</t>
  </si>
  <si>
    <t>Write hypothesis tests</t>
  </si>
  <si>
    <t>Hypothesis: neutral genetic variation outside of the reference genome explains part of Lewontin's paradox in plant species</t>
  </si>
  <si>
    <t>list of WGS runs</t>
  </si>
  <si>
    <t>Data to infer population size</t>
  </si>
  <si>
    <t>count k-mers</t>
  </si>
  <si>
    <t>merge k-mer counts</t>
  </si>
  <si>
    <t>filter out coding sequences from k-mers</t>
  </si>
  <si>
    <t>Process data</t>
  </si>
  <si>
    <t>Check missingness for each variable</t>
  </si>
  <si>
    <t>check genotype filter thresholds for all species</t>
  </si>
  <si>
    <t>Check how coverage correlates with diversity</t>
  </si>
  <si>
    <t>Discuss research plan with Emily</t>
  </si>
  <si>
    <t>Confirmatory analysis</t>
  </si>
  <si>
    <t>Check that SNP diversity correlates with k-mer diversity</t>
  </si>
  <si>
    <t>Normalize k-mer counts by total number of k-mers in dataset</t>
  </si>
  <si>
    <t>Inferring historic Ne - use MSMC2</t>
  </si>
  <si>
    <t>Test workflow with A. thaliana</t>
  </si>
  <si>
    <t>Test workflow on multiple species simultaneously</t>
  </si>
  <si>
    <t>Apply workflow to entire dataset</t>
  </si>
  <si>
    <t>Write code</t>
  </si>
  <si>
    <t>compare expected diversity ~ population size relationship to SNP diversity ~ population size relationship and k-mer diversity ~ population size relationship</t>
  </si>
  <si>
    <t>build set of non-neutral k-mer sequences from exon sequences</t>
  </si>
  <si>
    <t>Write conda environments for each step in code</t>
  </si>
  <si>
    <t>Create docker image from snakemake workflow</t>
  </si>
  <si>
    <t>Compare trees based on SNP dissimilarity vs k-mer dissimilarity</t>
  </si>
  <si>
    <t>Randomly subset k-mers</t>
  </si>
  <si>
    <t>Check pairwise correlations between all variables</t>
  </si>
  <si>
    <t>SNP diversity ~
population size estimate +
density of functional sites +
number of chromosomes sequenced +
average sequencing depth per individual +
genome size +
genome assembly quality +
average LD (or maybe tajima's D, or population recombination parameter)</t>
  </si>
  <si>
    <t>K-mer diversity ~
population size estimate +
density of functional sites + (does this make sense to include?)
number of chromosomes sequenced +
average sequencing depth per individual +
genome size +
genome assembly quality +
average LD (or maybe tajima's D? But I want to be able to compare SNPs vs k-mers)</t>
  </si>
  <si>
    <t>Measure k-mer diversity</t>
  </si>
  <si>
    <t>Lewontin's paradox and k-mer variation</t>
  </si>
  <si>
    <t>Extra time for when things go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</si>
</sst>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79998168889431442"/>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1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0" fontId="6" fillId="14" borderId="2" xfId="0" applyFont="1" applyFill="1" applyBorder="1" applyAlignment="1">
      <alignment horizontal="left" vertical="center" indent="1"/>
    </xf>
    <xf numFmtId="0" fontId="9" fillId="14" borderId="2" xfId="11" applyFill="1">
      <alignment horizontal="center" vertical="center"/>
    </xf>
    <xf numFmtId="9" fontId="5" fillId="14" borderId="2" xfId="2" applyFont="1" applyFill="1" applyBorder="1" applyAlignment="1">
      <alignment horizontal="center" vertical="center"/>
    </xf>
    <xf numFmtId="164" fontId="0" fillId="14" borderId="2" xfId="0" applyNumberFormat="1" applyFill="1" applyBorder="1" applyAlignment="1">
      <alignment horizontal="center" vertical="center"/>
    </xf>
    <xf numFmtId="164" fontId="5" fillId="14" borderId="2" xfId="0" applyNumberFormat="1" applyFont="1" applyFill="1" applyBorder="1" applyAlignment="1">
      <alignment horizontal="center" vertical="center"/>
    </xf>
    <xf numFmtId="0" fontId="9" fillId="15" borderId="2" xfId="11" applyFill="1">
      <alignment horizontal="center" vertical="center"/>
    </xf>
    <xf numFmtId="9" fontId="5" fillId="15" borderId="2" xfId="2" applyFont="1" applyFill="1" applyBorder="1" applyAlignment="1">
      <alignment horizontal="center" vertical="center"/>
    </xf>
    <xf numFmtId="164" fontId="9" fillId="15" borderId="2" xfId="10" applyFill="1">
      <alignment horizontal="center" vertical="center"/>
    </xf>
    <xf numFmtId="0" fontId="9" fillId="11" borderId="2" xfId="12" applyFill="1" applyAlignment="1">
      <alignment horizontal="left" vertical="center" wrapText="1" indent="2"/>
    </xf>
    <xf numFmtId="0" fontId="9" fillId="10" borderId="2" xfId="12" applyFill="1" applyAlignment="1">
      <alignment horizontal="left" vertical="center" wrapText="1" indent="2"/>
    </xf>
    <xf numFmtId="0" fontId="9" fillId="15" borderId="2" xfId="12" applyFill="1" applyAlignment="1">
      <alignment horizontal="left" vertical="center" wrapText="1" indent="2"/>
    </xf>
    <xf numFmtId="0" fontId="6" fillId="16" borderId="2" xfId="0" applyFont="1" applyFill="1" applyBorder="1" applyAlignment="1">
      <alignment horizontal="left" vertical="center" indent="1"/>
    </xf>
    <xf numFmtId="0" fontId="9" fillId="16" borderId="2" xfId="11" applyFill="1">
      <alignment horizontal="center" vertical="center"/>
    </xf>
    <xf numFmtId="9" fontId="5" fillId="16" borderId="2" xfId="2" applyFont="1" applyFill="1" applyBorder="1" applyAlignment="1">
      <alignment horizontal="center" vertical="center"/>
    </xf>
    <xf numFmtId="164" fontId="0" fillId="16" borderId="2" xfId="0" applyNumberFormat="1" applyFill="1" applyBorder="1" applyAlignment="1">
      <alignment horizontal="center" vertical="center"/>
    </xf>
    <xf numFmtId="164" fontId="5" fillId="16" borderId="2" xfId="0" applyNumberFormat="1" applyFont="1" applyFill="1" applyBorder="1" applyAlignment="1">
      <alignment horizontal="center" vertical="center"/>
    </xf>
    <xf numFmtId="0" fontId="9" fillId="17" borderId="2" xfId="12" applyFill="1">
      <alignment horizontal="left" vertical="center" indent="2"/>
    </xf>
    <xf numFmtId="0" fontId="9" fillId="17" borderId="2" xfId="11" applyFill="1">
      <alignment horizontal="center" vertical="center"/>
    </xf>
    <xf numFmtId="9" fontId="5" fillId="17" borderId="2" xfId="2" applyFont="1" applyFill="1" applyBorder="1" applyAlignment="1">
      <alignment horizontal="center" vertical="center"/>
    </xf>
    <xf numFmtId="164" fontId="9" fillId="17" borderId="2" xfId="10" applyFill="1">
      <alignment horizontal="center" vertical="center"/>
    </xf>
    <xf numFmtId="0" fontId="9" fillId="17" borderId="2" xfId="12" applyFill="1" applyAlignment="1">
      <alignment horizontal="left" vertical="center" wrapText="1" indent="2"/>
    </xf>
    <xf numFmtId="0" fontId="9" fillId="0" borderId="0" xfId="8">
      <alignment horizontal="right" indent="1"/>
    </xf>
    <xf numFmtId="0" fontId="9" fillId="0" borderId="7" xfId="8" applyBorder="1">
      <alignment horizontal="right" indent="1"/>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7"/>
  <sheetViews>
    <sheetView showGridLines="0" tabSelected="1" showRuler="0" zoomScaleNormal="100" zoomScalePageLayoutView="70" workbookViewId="0">
      <pane ySplit="6" topLeftCell="A8" activePane="bottomLeft" state="frozen"/>
      <selection pane="bottomLeft" activeCell="E29" sqref="E29"/>
    </sheetView>
  </sheetViews>
  <sheetFormatPr defaultRowHeight="30" customHeight="1" x14ac:dyDescent="0.25"/>
  <cols>
    <col min="1" max="1" width="2.7109375" style="57" customWidth="1"/>
    <col min="2" max="2" width="79.4257812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58" t="s">
        <v>27</v>
      </c>
      <c r="B1" s="61" t="s">
        <v>81</v>
      </c>
      <c r="C1" s="1"/>
      <c r="D1" s="2"/>
      <c r="E1" s="4"/>
      <c r="F1" s="46"/>
      <c r="H1" s="2"/>
      <c r="I1" s="80" t="s">
        <v>12</v>
      </c>
    </row>
    <row r="2" spans="1:64" ht="30" customHeight="1" x14ac:dyDescent="0.3">
      <c r="A2" s="57" t="s">
        <v>24</v>
      </c>
      <c r="B2" s="62" t="s">
        <v>38</v>
      </c>
      <c r="I2" s="81" t="s">
        <v>17</v>
      </c>
    </row>
    <row r="3" spans="1:64" ht="30" customHeight="1" x14ac:dyDescent="0.25">
      <c r="A3" s="57" t="s">
        <v>34</v>
      </c>
      <c r="B3" s="63" t="s">
        <v>37</v>
      </c>
      <c r="C3" s="104" t="s">
        <v>1</v>
      </c>
      <c r="D3" s="105"/>
      <c r="E3" s="109">
        <v>44867</v>
      </c>
      <c r="F3" s="109"/>
    </row>
    <row r="4" spans="1:64" ht="30" customHeight="1" x14ac:dyDescent="0.25">
      <c r="A4" s="58" t="s">
        <v>28</v>
      </c>
      <c r="C4" s="104" t="s">
        <v>8</v>
      </c>
      <c r="D4" s="105"/>
      <c r="E4" s="7">
        <v>1</v>
      </c>
      <c r="I4" s="106">
        <f>I5</f>
        <v>44865</v>
      </c>
      <c r="J4" s="107"/>
      <c r="K4" s="107"/>
      <c r="L4" s="107"/>
      <c r="M4" s="107"/>
      <c r="N4" s="107"/>
      <c r="O4" s="108"/>
      <c r="P4" s="106">
        <f>P5</f>
        <v>44872</v>
      </c>
      <c r="Q4" s="107"/>
      <c r="R4" s="107"/>
      <c r="S4" s="107"/>
      <c r="T4" s="107"/>
      <c r="U4" s="107"/>
      <c r="V4" s="108"/>
      <c r="W4" s="106">
        <f>W5</f>
        <v>44879</v>
      </c>
      <c r="X4" s="107"/>
      <c r="Y4" s="107"/>
      <c r="Z4" s="107"/>
      <c r="AA4" s="107"/>
      <c r="AB4" s="107"/>
      <c r="AC4" s="108"/>
      <c r="AD4" s="106">
        <f>AD5</f>
        <v>44886</v>
      </c>
      <c r="AE4" s="107"/>
      <c r="AF4" s="107"/>
      <c r="AG4" s="107"/>
      <c r="AH4" s="107"/>
      <c r="AI4" s="107"/>
      <c r="AJ4" s="108"/>
      <c r="AK4" s="106">
        <f>AK5</f>
        <v>44893</v>
      </c>
      <c r="AL4" s="107"/>
      <c r="AM4" s="107"/>
      <c r="AN4" s="107"/>
      <c r="AO4" s="107"/>
      <c r="AP4" s="107"/>
      <c r="AQ4" s="108"/>
      <c r="AR4" s="106">
        <f>AR5</f>
        <v>44900</v>
      </c>
      <c r="AS4" s="107"/>
      <c r="AT4" s="107"/>
      <c r="AU4" s="107"/>
      <c r="AV4" s="107"/>
      <c r="AW4" s="107"/>
      <c r="AX4" s="108"/>
      <c r="AY4" s="106">
        <f>AY5</f>
        <v>44907</v>
      </c>
      <c r="AZ4" s="107"/>
      <c r="BA4" s="107"/>
      <c r="BB4" s="107"/>
      <c r="BC4" s="107"/>
      <c r="BD4" s="107"/>
      <c r="BE4" s="108"/>
      <c r="BF4" s="106">
        <f>BF5</f>
        <v>44914</v>
      </c>
      <c r="BG4" s="107"/>
      <c r="BH4" s="107"/>
      <c r="BI4" s="107"/>
      <c r="BJ4" s="107"/>
      <c r="BK4" s="107"/>
      <c r="BL4" s="108"/>
    </row>
    <row r="5" spans="1:64" ht="15" customHeight="1" x14ac:dyDescent="0.25">
      <c r="A5" s="58" t="s">
        <v>29</v>
      </c>
      <c r="B5" s="79"/>
      <c r="C5" s="79"/>
      <c r="D5" s="79"/>
      <c r="E5" s="79"/>
      <c r="F5" s="79"/>
      <c r="G5" s="79"/>
      <c r="I5" s="11">
        <f>Project_Start-WEEKDAY(Project_Start,1)+2+7*(Display_Week-1)</f>
        <v>44865</v>
      </c>
      <c r="J5" s="10">
        <f>I5+1</f>
        <v>44866</v>
      </c>
      <c r="K5" s="10">
        <f t="shared" ref="K5:AX5" si="0">J5+1</f>
        <v>44867</v>
      </c>
      <c r="L5" s="10">
        <f t="shared" si="0"/>
        <v>44868</v>
      </c>
      <c r="M5" s="10">
        <f t="shared" si="0"/>
        <v>44869</v>
      </c>
      <c r="N5" s="10">
        <f t="shared" si="0"/>
        <v>44870</v>
      </c>
      <c r="O5" s="12">
        <f t="shared" si="0"/>
        <v>44871</v>
      </c>
      <c r="P5" s="11">
        <f>O5+1</f>
        <v>44872</v>
      </c>
      <c r="Q5" s="10">
        <f>P5+1</f>
        <v>44873</v>
      </c>
      <c r="R5" s="10">
        <f t="shared" si="0"/>
        <v>44874</v>
      </c>
      <c r="S5" s="10">
        <f t="shared" si="0"/>
        <v>44875</v>
      </c>
      <c r="T5" s="10">
        <f t="shared" si="0"/>
        <v>44876</v>
      </c>
      <c r="U5" s="10">
        <f t="shared" si="0"/>
        <v>44877</v>
      </c>
      <c r="V5" s="12">
        <f t="shared" si="0"/>
        <v>44878</v>
      </c>
      <c r="W5" s="11">
        <f>V5+1</f>
        <v>44879</v>
      </c>
      <c r="X5" s="10">
        <f>W5+1</f>
        <v>44880</v>
      </c>
      <c r="Y5" s="10">
        <f t="shared" si="0"/>
        <v>44881</v>
      </c>
      <c r="Z5" s="10">
        <f t="shared" si="0"/>
        <v>44882</v>
      </c>
      <c r="AA5" s="10">
        <f t="shared" si="0"/>
        <v>44883</v>
      </c>
      <c r="AB5" s="10">
        <f t="shared" si="0"/>
        <v>44884</v>
      </c>
      <c r="AC5" s="12">
        <f t="shared" si="0"/>
        <v>44885</v>
      </c>
      <c r="AD5" s="11">
        <f>AC5+1</f>
        <v>44886</v>
      </c>
      <c r="AE5" s="10">
        <f>AD5+1</f>
        <v>44887</v>
      </c>
      <c r="AF5" s="10">
        <f t="shared" si="0"/>
        <v>44888</v>
      </c>
      <c r="AG5" s="10">
        <f t="shared" si="0"/>
        <v>44889</v>
      </c>
      <c r="AH5" s="10">
        <f t="shared" si="0"/>
        <v>44890</v>
      </c>
      <c r="AI5" s="10">
        <f t="shared" si="0"/>
        <v>44891</v>
      </c>
      <c r="AJ5" s="12">
        <f t="shared" si="0"/>
        <v>44892</v>
      </c>
      <c r="AK5" s="11">
        <f>AJ5+1</f>
        <v>44893</v>
      </c>
      <c r="AL5" s="10">
        <f>AK5+1</f>
        <v>44894</v>
      </c>
      <c r="AM5" s="10">
        <f t="shared" si="0"/>
        <v>44895</v>
      </c>
      <c r="AN5" s="10">
        <f t="shared" si="0"/>
        <v>44896</v>
      </c>
      <c r="AO5" s="10">
        <f t="shared" si="0"/>
        <v>44897</v>
      </c>
      <c r="AP5" s="10">
        <f t="shared" si="0"/>
        <v>44898</v>
      </c>
      <c r="AQ5" s="12">
        <f t="shared" si="0"/>
        <v>44899</v>
      </c>
      <c r="AR5" s="11">
        <f>AQ5+1</f>
        <v>44900</v>
      </c>
      <c r="AS5" s="10">
        <f>AR5+1</f>
        <v>44901</v>
      </c>
      <c r="AT5" s="10">
        <f t="shared" si="0"/>
        <v>44902</v>
      </c>
      <c r="AU5" s="10">
        <f t="shared" si="0"/>
        <v>44903</v>
      </c>
      <c r="AV5" s="10">
        <f t="shared" si="0"/>
        <v>44904</v>
      </c>
      <c r="AW5" s="10">
        <f t="shared" si="0"/>
        <v>44905</v>
      </c>
      <c r="AX5" s="12">
        <f t="shared" si="0"/>
        <v>44906</v>
      </c>
      <c r="AY5" s="11">
        <f>AX5+1</f>
        <v>44907</v>
      </c>
      <c r="AZ5" s="10">
        <f>AY5+1</f>
        <v>44908</v>
      </c>
      <c r="BA5" s="10">
        <f t="shared" ref="BA5:BE5" si="1">AZ5+1</f>
        <v>44909</v>
      </c>
      <c r="BB5" s="10">
        <f t="shared" si="1"/>
        <v>44910</v>
      </c>
      <c r="BC5" s="10">
        <f t="shared" si="1"/>
        <v>44911</v>
      </c>
      <c r="BD5" s="10">
        <f t="shared" si="1"/>
        <v>44912</v>
      </c>
      <c r="BE5" s="12">
        <f t="shared" si="1"/>
        <v>44913</v>
      </c>
      <c r="BF5" s="11">
        <f>BE5+1</f>
        <v>44914</v>
      </c>
      <c r="BG5" s="10">
        <f>BF5+1</f>
        <v>44915</v>
      </c>
      <c r="BH5" s="10">
        <f t="shared" ref="BH5:BL5" si="2">BG5+1</f>
        <v>44916</v>
      </c>
      <c r="BI5" s="10">
        <f t="shared" si="2"/>
        <v>44917</v>
      </c>
      <c r="BJ5" s="10">
        <f t="shared" si="2"/>
        <v>44918</v>
      </c>
      <c r="BK5" s="10">
        <f t="shared" si="2"/>
        <v>44919</v>
      </c>
      <c r="BL5" s="12">
        <f t="shared" si="2"/>
        <v>44920</v>
      </c>
    </row>
    <row r="6" spans="1:64" ht="30" customHeight="1" thickBot="1" x14ac:dyDescent="0.3">
      <c r="A6" s="58" t="s">
        <v>30</v>
      </c>
      <c r="B6" s="8" t="s">
        <v>9</v>
      </c>
      <c r="C6" s="9" t="s">
        <v>3</v>
      </c>
      <c r="D6" s="9" t="s">
        <v>2</v>
      </c>
      <c r="E6" s="9" t="s">
        <v>5</v>
      </c>
      <c r="F6" s="9" t="s">
        <v>6</v>
      </c>
      <c r="G6" s="9"/>
      <c r="H6" s="9" t="s">
        <v>7</v>
      </c>
      <c r="I6" s="13" t="str">
        <f t="shared" ref="I6" si="3">LEFT(TEXT(I5,"ddd"),1)</f>
        <v>M</v>
      </c>
      <c r="J6" s="13" t="str">
        <f t="shared" ref="J6:AR6" si="4">LEFT(TEXT(J5,"ddd"),1)</f>
        <v>T</v>
      </c>
      <c r="K6" s="13" t="str">
        <f t="shared" si="4"/>
        <v>W</v>
      </c>
      <c r="L6" s="13" t="str">
        <f t="shared" si="4"/>
        <v>T</v>
      </c>
      <c r="M6" s="13" t="str">
        <f t="shared" si="4"/>
        <v>F</v>
      </c>
      <c r="N6" s="13" t="str">
        <f t="shared" si="4"/>
        <v>S</v>
      </c>
      <c r="O6" s="13" t="str">
        <f t="shared" si="4"/>
        <v>S</v>
      </c>
      <c r="P6" s="13" t="str">
        <f t="shared" si="4"/>
        <v>M</v>
      </c>
      <c r="Q6" s="13" t="str">
        <f t="shared" si="4"/>
        <v>T</v>
      </c>
      <c r="R6" s="13" t="str">
        <f t="shared" si="4"/>
        <v>W</v>
      </c>
      <c r="S6" s="13" t="str">
        <f t="shared" si="4"/>
        <v>T</v>
      </c>
      <c r="T6" s="13" t="str">
        <f t="shared" si="4"/>
        <v>F</v>
      </c>
      <c r="U6" s="13" t="str">
        <f t="shared" si="4"/>
        <v>S</v>
      </c>
      <c r="V6" s="13" t="str">
        <f t="shared" si="4"/>
        <v>S</v>
      </c>
      <c r="W6" s="13" t="str">
        <f t="shared" si="4"/>
        <v>M</v>
      </c>
      <c r="X6" s="13" t="str">
        <f t="shared" si="4"/>
        <v>T</v>
      </c>
      <c r="Y6" s="13" t="str">
        <f t="shared" si="4"/>
        <v>W</v>
      </c>
      <c r="Z6" s="13" t="str">
        <f t="shared" si="4"/>
        <v>T</v>
      </c>
      <c r="AA6" s="13" t="str">
        <f t="shared" si="4"/>
        <v>F</v>
      </c>
      <c r="AB6" s="13" t="str">
        <f t="shared" si="4"/>
        <v>S</v>
      </c>
      <c r="AC6" s="13" t="str">
        <f t="shared" si="4"/>
        <v>S</v>
      </c>
      <c r="AD6" s="13" t="str">
        <f t="shared" si="4"/>
        <v>M</v>
      </c>
      <c r="AE6" s="13" t="str">
        <f t="shared" si="4"/>
        <v>T</v>
      </c>
      <c r="AF6" s="13" t="str">
        <f t="shared" si="4"/>
        <v>W</v>
      </c>
      <c r="AG6" s="13" t="str">
        <f t="shared" si="4"/>
        <v>T</v>
      </c>
      <c r="AH6" s="13" t="str">
        <f t="shared" si="4"/>
        <v>F</v>
      </c>
      <c r="AI6" s="13" t="str">
        <f t="shared" si="4"/>
        <v>S</v>
      </c>
      <c r="AJ6" s="13" t="str">
        <f t="shared" si="4"/>
        <v>S</v>
      </c>
      <c r="AK6" s="13" t="str">
        <f t="shared" si="4"/>
        <v>M</v>
      </c>
      <c r="AL6" s="13" t="str">
        <f t="shared" si="4"/>
        <v>T</v>
      </c>
      <c r="AM6" s="13" t="str">
        <f t="shared" si="4"/>
        <v>W</v>
      </c>
      <c r="AN6" s="13" t="str">
        <f t="shared" si="4"/>
        <v>T</v>
      </c>
      <c r="AO6" s="13" t="str">
        <f t="shared" si="4"/>
        <v>F</v>
      </c>
      <c r="AP6" s="13" t="str">
        <f t="shared" si="4"/>
        <v>S</v>
      </c>
      <c r="AQ6" s="13" t="str">
        <f t="shared" si="4"/>
        <v>S</v>
      </c>
      <c r="AR6" s="13" t="str">
        <f t="shared" si="4"/>
        <v>M</v>
      </c>
      <c r="AS6" s="13" t="str">
        <f t="shared" ref="AS6:BL6" si="5">LEFT(TEXT(AS5,"ddd"),1)</f>
        <v>T</v>
      </c>
      <c r="AT6" s="13" t="str">
        <f t="shared" si="5"/>
        <v>W</v>
      </c>
      <c r="AU6" s="13" t="str">
        <f t="shared" si="5"/>
        <v>T</v>
      </c>
      <c r="AV6" s="13" t="str">
        <f t="shared" si="5"/>
        <v>F</v>
      </c>
      <c r="AW6" s="13" t="str">
        <f t="shared" si="5"/>
        <v>S</v>
      </c>
      <c r="AX6" s="13" t="str">
        <f t="shared" si="5"/>
        <v>S</v>
      </c>
      <c r="AY6" s="13" t="str">
        <f t="shared" si="5"/>
        <v>M</v>
      </c>
      <c r="AZ6" s="13" t="str">
        <f t="shared" si="5"/>
        <v>T</v>
      </c>
      <c r="BA6" s="13" t="str">
        <f t="shared" si="5"/>
        <v>W</v>
      </c>
      <c r="BB6" s="13" t="str">
        <f t="shared" si="5"/>
        <v>T</v>
      </c>
      <c r="BC6" s="13" t="str">
        <f t="shared" si="5"/>
        <v>F</v>
      </c>
      <c r="BD6" s="13" t="str">
        <f t="shared" si="5"/>
        <v>S</v>
      </c>
      <c r="BE6" s="13" t="str">
        <f t="shared" si="5"/>
        <v>S</v>
      </c>
      <c r="BF6" s="13" t="str">
        <f t="shared" si="5"/>
        <v>M</v>
      </c>
      <c r="BG6" s="13" t="str">
        <f t="shared" si="5"/>
        <v>T</v>
      </c>
      <c r="BH6" s="13" t="str">
        <f t="shared" si="5"/>
        <v>W</v>
      </c>
      <c r="BI6" s="13" t="str">
        <f t="shared" si="5"/>
        <v>T</v>
      </c>
      <c r="BJ6" s="13" t="str">
        <f t="shared" si="5"/>
        <v>F</v>
      </c>
      <c r="BK6" s="13" t="str">
        <f t="shared" si="5"/>
        <v>S</v>
      </c>
      <c r="BL6" s="13" t="str">
        <f t="shared" si="5"/>
        <v>S</v>
      </c>
    </row>
    <row r="7" spans="1:64" ht="30" hidden="1" customHeight="1" thickBot="1" x14ac:dyDescent="0.3">
      <c r="A7" s="57" t="s">
        <v>35</v>
      </c>
      <c r="C7" s="60"/>
      <c r="E7"/>
      <c r="H7" t="str">
        <f>IF(OR(ISBLANK(task_start),ISBLANK(task_end)),"",task_end-task_start+1)</f>
        <v/>
      </c>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row>
    <row r="8" spans="1:64" s="3" customFormat="1" ht="30" customHeight="1" thickBot="1" x14ac:dyDescent="0.3">
      <c r="A8" s="58" t="s">
        <v>31</v>
      </c>
      <c r="B8" s="17" t="s">
        <v>39</v>
      </c>
      <c r="C8" s="68"/>
      <c r="D8" s="18"/>
      <c r="E8" s="19"/>
      <c r="F8" s="20"/>
      <c r="G8" s="16"/>
      <c r="H8" s="16" t="str">
        <f t="shared" ref="H8:H44" si="6">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row>
    <row r="9" spans="1:64" s="3" customFormat="1" ht="30" customHeight="1" thickBot="1" x14ac:dyDescent="0.3">
      <c r="A9" s="58" t="s">
        <v>36</v>
      </c>
      <c r="B9" s="76" t="s">
        <v>66</v>
      </c>
      <c r="C9" s="69" t="s">
        <v>41</v>
      </c>
      <c r="D9" s="21">
        <v>1</v>
      </c>
      <c r="E9" s="64">
        <f>Project_Start</f>
        <v>44867</v>
      </c>
      <c r="F9" s="64">
        <f>Project_Start</f>
        <v>44867</v>
      </c>
      <c r="G9" s="16"/>
      <c r="H9" s="16">
        <f t="shared" si="6"/>
        <v>1</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 customFormat="1" ht="30" customHeight="1" thickBot="1" x14ac:dyDescent="0.3">
      <c r="A10" s="58" t="s">
        <v>32</v>
      </c>
      <c r="B10" s="76" t="s">
        <v>50</v>
      </c>
      <c r="C10" s="69" t="s">
        <v>41</v>
      </c>
      <c r="D10" s="21">
        <v>1</v>
      </c>
      <c r="E10" s="64">
        <f>F9</f>
        <v>44867</v>
      </c>
      <c r="F10" s="64">
        <f>Project_Start</f>
        <v>44867</v>
      </c>
      <c r="G10" s="16"/>
      <c r="H10" s="16">
        <f t="shared" si="6"/>
        <v>1</v>
      </c>
      <c r="I10" s="43"/>
      <c r="J10" s="43"/>
      <c r="K10" s="43"/>
      <c r="L10" s="43"/>
      <c r="M10" s="43"/>
      <c r="N10" s="43"/>
      <c r="O10" s="43"/>
      <c r="P10" s="43"/>
      <c r="Q10" s="43"/>
      <c r="R10" s="43"/>
      <c r="S10" s="43"/>
      <c r="T10" s="43"/>
      <c r="U10" s="44"/>
      <c r="V10" s="44"/>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 customFormat="1" ht="30" customHeight="1" thickBot="1" x14ac:dyDescent="0.3">
      <c r="A11" s="57"/>
      <c r="B11" s="76" t="s">
        <v>51</v>
      </c>
      <c r="C11" s="69" t="s">
        <v>41</v>
      </c>
      <c r="D11" s="21">
        <v>1</v>
      </c>
      <c r="E11" s="64">
        <f>F10</f>
        <v>44867</v>
      </c>
      <c r="F11" s="64">
        <f>E11+5</f>
        <v>44872</v>
      </c>
      <c r="G11" s="16"/>
      <c r="H11" s="16">
        <f t="shared" si="6"/>
        <v>6</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row>
    <row r="12" spans="1:64" s="3" customFormat="1" ht="30" customHeight="1" thickBot="1" x14ac:dyDescent="0.3">
      <c r="A12" s="57"/>
      <c r="B12" s="76" t="s">
        <v>62</v>
      </c>
      <c r="C12" s="69" t="s">
        <v>41</v>
      </c>
      <c r="D12" s="21"/>
      <c r="E12" s="64">
        <v>44873</v>
      </c>
      <c r="F12" s="64">
        <v>44873</v>
      </c>
      <c r="G12" s="16"/>
      <c r="H12" s="16"/>
      <c r="I12" s="43"/>
      <c r="J12" s="43"/>
      <c r="K12" s="43"/>
      <c r="L12" s="43"/>
      <c r="M12" s="43"/>
      <c r="N12" s="43"/>
      <c r="O12" s="43"/>
      <c r="P12" s="43"/>
      <c r="Q12" s="43"/>
      <c r="R12" s="43"/>
      <c r="S12" s="43"/>
      <c r="T12" s="43"/>
      <c r="U12" s="43"/>
      <c r="V12" s="43"/>
      <c r="W12" s="43"/>
      <c r="X12" s="43"/>
      <c r="Y12" s="44"/>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 customFormat="1" ht="30" customHeight="1" thickBot="1" x14ac:dyDescent="0.3">
      <c r="A13" s="58" t="s">
        <v>33</v>
      </c>
      <c r="B13" s="22" t="s">
        <v>40</v>
      </c>
      <c r="C13" s="70"/>
      <c r="D13" s="23"/>
      <c r="E13" s="24"/>
      <c r="F13" s="25"/>
      <c r="G13" s="16"/>
      <c r="H13" s="16" t="str">
        <f t="shared" si="6"/>
        <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 customFormat="1" ht="30" customHeight="1" thickBot="1" x14ac:dyDescent="0.3">
      <c r="A14" s="58"/>
      <c r="B14" s="77" t="s">
        <v>53</v>
      </c>
      <c r="C14" s="71" t="s">
        <v>41</v>
      </c>
      <c r="D14" s="26"/>
      <c r="E14" s="65">
        <v>44873</v>
      </c>
      <c r="F14" s="65">
        <v>44879</v>
      </c>
      <c r="G14" s="16"/>
      <c r="H14" s="16">
        <f t="shared" si="6"/>
        <v>7</v>
      </c>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row>
    <row r="15" spans="1:64" s="3" customFormat="1" ht="30" customHeight="1" thickBot="1" x14ac:dyDescent="0.3">
      <c r="A15" s="57"/>
      <c r="B15" s="77" t="s">
        <v>54</v>
      </c>
      <c r="C15" s="71" t="s">
        <v>41</v>
      </c>
      <c r="D15" s="26"/>
      <c r="E15" s="65">
        <v>44874</v>
      </c>
      <c r="F15" s="65">
        <v>44893</v>
      </c>
      <c r="G15" s="16"/>
      <c r="H15" s="16">
        <f t="shared" si="6"/>
        <v>20</v>
      </c>
      <c r="I15" s="43"/>
      <c r="J15" s="43"/>
      <c r="K15" s="43"/>
      <c r="L15" s="43"/>
      <c r="M15" s="43"/>
      <c r="N15" s="43"/>
      <c r="O15" s="43"/>
      <c r="P15" s="43"/>
      <c r="Q15" s="43"/>
      <c r="R15" s="43"/>
      <c r="S15" s="43"/>
      <c r="T15" s="43"/>
      <c r="U15" s="44"/>
      <c r="V15" s="44"/>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row>
    <row r="16" spans="1:64" s="3" customFormat="1" ht="30" customHeight="1" thickBot="1" x14ac:dyDescent="0.3">
      <c r="A16" s="57" t="s">
        <v>25</v>
      </c>
      <c r="B16" s="27" t="s">
        <v>70</v>
      </c>
      <c r="C16" s="72"/>
      <c r="D16" s="28"/>
      <c r="E16" s="29"/>
      <c r="F16" s="30"/>
      <c r="G16" s="16"/>
      <c r="H16" s="16" t="str">
        <f t="shared" si="6"/>
        <v/>
      </c>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row>
    <row r="17" spans="1:64" s="3" customFormat="1" ht="30" customHeight="1" thickBot="1" x14ac:dyDescent="0.3">
      <c r="A17" s="57"/>
      <c r="B17" s="78" t="s">
        <v>55</v>
      </c>
      <c r="C17" s="73" t="s">
        <v>41</v>
      </c>
      <c r="D17" s="31">
        <v>1</v>
      </c>
      <c r="E17" s="66">
        <v>44868</v>
      </c>
      <c r="F17" s="66">
        <v>44868</v>
      </c>
      <c r="G17" s="16"/>
      <c r="H17" s="16">
        <f t="shared" si="6"/>
        <v>1</v>
      </c>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 customFormat="1" ht="30" customHeight="1" thickBot="1" x14ac:dyDescent="0.3">
      <c r="A18" s="57"/>
      <c r="B18" s="91" t="s">
        <v>44</v>
      </c>
      <c r="C18" s="73" t="s">
        <v>41</v>
      </c>
      <c r="D18" s="31">
        <v>1</v>
      </c>
      <c r="E18" s="66">
        <v>44868</v>
      </c>
      <c r="F18" s="66">
        <v>44868</v>
      </c>
      <c r="G18" s="16"/>
      <c r="H18" s="16"/>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 customFormat="1" ht="30" customHeight="1" thickBot="1" x14ac:dyDescent="0.3">
      <c r="A19" s="57"/>
      <c r="B19" s="78" t="s">
        <v>72</v>
      </c>
      <c r="C19" s="73" t="s">
        <v>41</v>
      </c>
      <c r="D19" s="31">
        <v>1</v>
      </c>
      <c r="E19" s="66">
        <v>44869</v>
      </c>
      <c r="F19" s="66">
        <v>44869</v>
      </c>
      <c r="G19" s="16"/>
      <c r="H19" s="16"/>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row>
    <row r="20" spans="1:64" s="3" customFormat="1" ht="30" customHeight="1" thickBot="1" x14ac:dyDescent="0.3">
      <c r="A20" s="57"/>
      <c r="B20" s="78" t="s">
        <v>57</v>
      </c>
      <c r="C20" s="73" t="s">
        <v>41</v>
      </c>
      <c r="D20" s="31">
        <v>1</v>
      </c>
      <c r="E20" s="66">
        <v>44869</v>
      </c>
      <c r="F20" s="66">
        <v>44869</v>
      </c>
      <c r="G20" s="16"/>
      <c r="H20" s="16"/>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row>
    <row r="21" spans="1:64" s="3" customFormat="1" ht="30" customHeight="1" thickBot="1" x14ac:dyDescent="0.3">
      <c r="A21" s="57"/>
      <c r="B21" s="78" t="s">
        <v>65</v>
      </c>
      <c r="C21" s="73" t="s">
        <v>41</v>
      </c>
      <c r="D21" s="31">
        <v>1</v>
      </c>
      <c r="E21" s="66">
        <v>44870</v>
      </c>
      <c r="F21" s="66">
        <v>44870</v>
      </c>
      <c r="G21" s="16"/>
      <c r="H21" s="16">
        <f t="shared" si="6"/>
        <v>1</v>
      </c>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row>
    <row r="22" spans="1:64" s="3" customFormat="1" ht="30" customHeight="1" thickBot="1" x14ac:dyDescent="0.3">
      <c r="A22" s="57"/>
      <c r="B22" s="91" t="s">
        <v>56</v>
      </c>
      <c r="C22" s="73" t="s">
        <v>41</v>
      </c>
      <c r="D22" s="31">
        <v>1</v>
      </c>
      <c r="E22" s="66">
        <v>44871</v>
      </c>
      <c r="F22" s="66">
        <v>44871</v>
      </c>
      <c r="G22" s="16"/>
      <c r="H22" s="16">
        <f t="shared" si="6"/>
        <v>1</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 customFormat="1" ht="30" customHeight="1" thickBot="1" x14ac:dyDescent="0.3">
      <c r="A23" s="57"/>
      <c r="B23" s="91" t="s">
        <v>76</v>
      </c>
      <c r="C23" s="73" t="s">
        <v>41</v>
      </c>
      <c r="D23" s="31">
        <v>1</v>
      </c>
      <c r="E23" s="66">
        <v>44872</v>
      </c>
      <c r="F23" s="66">
        <v>44872</v>
      </c>
      <c r="G23" s="16"/>
      <c r="H23" s="16"/>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row>
    <row r="24" spans="1:64" s="3" customFormat="1" ht="30" customHeight="1" thickBot="1" x14ac:dyDescent="0.3">
      <c r="A24" s="57"/>
      <c r="B24" s="91" t="s">
        <v>80</v>
      </c>
      <c r="C24" s="73" t="s">
        <v>41</v>
      </c>
      <c r="D24" s="31">
        <v>1</v>
      </c>
      <c r="E24" s="66">
        <v>44873</v>
      </c>
      <c r="F24" s="66">
        <v>44873</v>
      </c>
      <c r="G24" s="16"/>
      <c r="H24" s="16"/>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row>
    <row r="25" spans="1:64" s="3" customFormat="1" ht="30" customHeight="1" thickBot="1" x14ac:dyDescent="0.3">
      <c r="A25" s="57"/>
      <c r="B25" s="91" t="s">
        <v>73</v>
      </c>
      <c r="C25" s="73" t="s">
        <v>41</v>
      </c>
      <c r="D25" s="31"/>
      <c r="E25" s="66">
        <v>44874</v>
      </c>
      <c r="F25" s="66">
        <v>44874</v>
      </c>
      <c r="G25" s="16"/>
      <c r="H25" s="16"/>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 customFormat="1" ht="30" customHeight="1" thickBot="1" x14ac:dyDescent="0.3">
      <c r="A26" s="57"/>
      <c r="B26" s="91" t="s">
        <v>74</v>
      </c>
      <c r="C26" s="73" t="s">
        <v>41</v>
      </c>
      <c r="D26" s="31"/>
      <c r="E26" s="66">
        <v>44874</v>
      </c>
      <c r="F26" s="66">
        <v>44874</v>
      </c>
      <c r="G26" s="16"/>
      <c r="H26" s="16"/>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3" customFormat="1" ht="30" customHeight="1" thickBot="1" x14ac:dyDescent="0.3">
      <c r="A27" s="57" t="s">
        <v>25</v>
      </c>
      <c r="B27" s="94" t="s">
        <v>58</v>
      </c>
      <c r="C27" s="95"/>
      <c r="D27" s="96"/>
      <c r="E27" s="97"/>
      <c r="F27" s="98"/>
      <c r="G27" s="16"/>
      <c r="H27" s="16" t="str">
        <f t="shared" si="6"/>
        <v/>
      </c>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row>
    <row r="28" spans="1:64" s="3" customFormat="1" ht="30" customHeight="1" thickBot="1" x14ac:dyDescent="0.3">
      <c r="A28" s="57"/>
      <c r="B28" s="99" t="s">
        <v>67</v>
      </c>
      <c r="C28" s="100" t="s">
        <v>41</v>
      </c>
      <c r="D28" s="101"/>
      <c r="E28" s="102">
        <v>44875</v>
      </c>
      <c r="F28" s="102">
        <v>44879</v>
      </c>
      <c r="G28" s="16"/>
      <c r="H28" s="16">
        <f t="shared" si="6"/>
        <v>5</v>
      </c>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row>
    <row r="29" spans="1:64" s="3" customFormat="1" ht="30" customHeight="1" thickBot="1" x14ac:dyDescent="0.3">
      <c r="A29" s="57"/>
      <c r="B29" s="103" t="s">
        <v>68</v>
      </c>
      <c r="C29" s="100" t="s">
        <v>41</v>
      </c>
      <c r="D29" s="101"/>
      <c r="E29" s="102">
        <v>44879</v>
      </c>
      <c r="F29" s="102">
        <v>44883</v>
      </c>
      <c r="G29" s="16"/>
      <c r="H29" s="16"/>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row>
    <row r="30" spans="1:64" s="3" customFormat="1" ht="30" customHeight="1" thickBot="1" x14ac:dyDescent="0.3">
      <c r="A30" s="57"/>
      <c r="B30" s="99" t="s">
        <v>69</v>
      </c>
      <c r="C30" s="100" t="s">
        <v>41</v>
      </c>
      <c r="D30" s="101"/>
      <c r="E30" s="102">
        <v>44886</v>
      </c>
      <c r="F30" s="102">
        <v>44893</v>
      </c>
      <c r="G30" s="16"/>
      <c r="H30" s="16"/>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row>
    <row r="31" spans="1:64" s="3" customFormat="1" ht="30" customHeight="1" thickBot="1" x14ac:dyDescent="0.3">
      <c r="A31" s="57"/>
      <c r="B31" s="103" t="s">
        <v>60</v>
      </c>
      <c r="C31" s="100" t="s">
        <v>41</v>
      </c>
      <c r="D31" s="101"/>
      <c r="E31" s="102">
        <v>44893</v>
      </c>
      <c r="F31" s="102">
        <v>44893</v>
      </c>
      <c r="G31" s="16"/>
      <c r="H31" s="16"/>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row>
    <row r="32" spans="1:64" s="3" customFormat="1" ht="30" customHeight="1" thickBot="1" x14ac:dyDescent="0.3">
      <c r="A32" s="57"/>
      <c r="B32" s="99" t="s">
        <v>82</v>
      </c>
      <c r="C32" s="100" t="s">
        <v>41</v>
      </c>
      <c r="D32" s="101"/>
      <c r="E32" s="102">
        <v>44893</v>
      </c>
      <c r="F32" s="102">
        <v>44900</v>
      </c>
      <c r="G32" s="16"/>
      <c r="H32" s="16"/>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row>
    <row r="33" spans="1:64" s="3" customFormat="1" ht="30" customHeight="1" thickBot="1" x14ac:dyDescent="0.3">
      <c r="A33" s="57" t="s">
        <v>25</v>
      </c>
      <c r="B33" s="32" t="s">
        <v>42</v>
      </c>
      <c r="C33" s="74"/>
      <c r="D33" s="33"/>
      <c r="E33" s="34"/>
      <c r="F33" s="35"/>
      <c r="G33" s="16"/>
      <c r="H33" s="16" t="str">
        <f t="shared" si="6"/>
        <v/>
      </c>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row>
    <row r="34" spans="1:64" s="3" customFormat="1" ht="30" customHeight="1" thickBot="1" x14ac:dyDescent="0.3">
      <c r="A34" s="57"/>
      <c r="B34" s="92" t="s">
        <v>59</v>
      </c>
      <c r="C34" s="75" t="s">
        <v>41</v>
      </c>
      <c r="D34" s="36"/>
      <c r="E34" s="67">
        <v>44900</v>
      </c>
      <c r="F34" s="67">
        <v>44900</v>
      </c>
      <c r="G34" s="16"/>
      <c r="H34" s="16">
        <f t="shared" si="6"/>
        <v>1</v>
      </c>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row>
    <row r="35" spans="1:64" s="3" customFormat="1" ht="30" customHeight="1" thickBot="1" x14ac:dyDescent="0.3">
      <c r="A35" s="57"/>
      <c r="B35" s="92" t="s">
        <v>43</v>
      </c>
      <c r="C35" s="75" t="s">
        <v>41</v>
      </c>
      <c r="D35" s="36"/>
      <c r="E35" s="67">
        <v>44900</v>
      </c>
      <c r="F35" s="67">
        <v>44900</v>
      </c>
      <c r="G35" s="16"/>
      <c r="H35" s="16">
        <f t="shared" si="6"/>
        <v>1</v>
      </c>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row>
    <row r="36" spans="1:64" s="3" customFormat="1" ht="30" customHeight="1" thickBot="1" x14ac:dyDescent="0.3">
      <c r="A36" s="57"/>
      <c r="B36" s="92" t="s">
        <v>77</v>
      </c>
      <c r="C36" s="75" t="s">
        <v>41</v>
      </c>
      <c r="D36" s="36"/>
      <c r="E36" s="67">
        <v>44900</v>
      </c>
      <c r="F36" s="67">
        <v>44900</v>
      </c>
      <c r="G36" s="16"/>
      <c r="H36" s="16"/>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row>
    <row r="37" spans="1:64" s="3" customFormat="1" ht="30" customHeight="1" thickBot="1" x14ac:dyDescent="0.3">
      <c r="A37" s="57"/>
      <c r="B37" s="92" t="s">
        <v>64</v>
      </c>
      <c r="C37" s="75" t="s">
        <v>41</v>
      </c>
      <c r="D37" s="36"/>
      <c r="E37" s="67">
        <v>44900</v>
      </c>
      <c r="F37" s="67">
        <v>44900</v>
      </c>
      <c r="G37" s="16"/>
      <c r="H37" s="16"/>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row>
    <row r="38" spans="1:64" s="3" customFormat="1" ht="30" customHeight="1" thickBot="1" x14ac:dyDescent="0.3">
      <c r="A38" s="57"/>
      <c r="B38" s="92" t="s">
        <v>61</v>
      </c>
      <c r="C38" s="75" t="s">
        <v>41</v>
      </c>
      <c r="D38" s="36"/>
      <c r="E38" s="67">
        <v>44900</v>
      </c>
      <c r="F38" s="67">
        <v>44900</v>
      </c>
      <c r="G38" s="16"/>
      <c r="H38" s="16"/>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row>
    <row r="39" spans="1:64" s="3" customFormat="1" ht="30" customHeight="1" thickBot="1" x14ac:dyDescent="0.3">
      <c r="A39" s="57"/>
      <c r="B39" s="92" t="s">
        <v>75</v>
      </c>
      <c r="C39" s="75" t="s">
        <v>41</v>
      </c>
      <c r="D39" s="36"/>
      <c r="E39" s="67">
        <v>44901</v>
      </c>
      <c r="F39" s="67">
        <v>44907</v>
      </c>
      <c r="G39" s="16"/>
      <c r="H39" s="16"/>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row>
    <row r="40" spans="1:64" s="3" customFormat="1" ht="30" customHeight="1" thickBot="1" x14ac:dyDescent="0.3">
      <c r="A40" s="57" t="s">
        <v>25</v>
      </c>
      <c r="B40" s="83" t="s">
        <v>63</v>
      </c>
      <c r="C40" s="84"/>
      <c r="D40" s="85"/>
      <c r="E40" s="86"/>
      <c r="F40" s="87"/>
      <c r="G40" s="16"/>
      <c r="H40" s="16" t="str">
        <f t="shared" si="6"/>
        <v/>
      </c>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row>
    <row r="41" spans="1:64" s="3" customFormat="1" ht="130.5" customHeight="1" thickBot="1" x14ac:dyDescent="0.3">
      <c r="A41" s="57"/>
      <c r="B41" s="93" t="s">
        <v>78</v>
      </c>
      <c r="C41" s="88" t="s">
        <v>41</v>
      </c>
      <c r="D41" s="89"/>
      <c r="E41" s="90">
        <v>44907</v>
      </c>
      <c r="F41" s="90">
        <v>44907</v>
      </c>
      <c r="G41" s="16"/>
      <c r="H41" s="16">
        <f t="shared" si="6"/>
        <v>1</v>
      </c>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row>
    <row r="42" spans="1:64" s="3" customFormat="1" ht="130.5" customHeight="1" thickBot="1" x14ac:dyDescent="0.3">
      <c r="A42" s="57"/>
      <c r="B42" s="93" t="s">
        <v>79</v>
      </c>
      <c r="C42" s="88" t="s">
        <v>41</v>
      </c>
      <c r="D42" s="89"/>
      <c r="E42" s="90">
        <v>44907</v>
      </c>
      <c r="F42" s="90">
        <v>44907</v>
      </c>
      <c r="G42" s="16"/>
      <c r="H42" s="16"/>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row>
    <row r="43" spans="1:64" s="3" customFormat="1" ht="30" customHeight="1" thickBot="1" x14ac:dyDescent="0.3">
      <c r="A43" s="57"/>
      <c r="B43" s="93" t="s">
        <v>71</v>
      </c>
      <c r="C43" s="88" t="s">
        <v>41</v>
      </c>
      <c r="D43" s="89"/>
      <c r="E43" s="90">
        <v>44907</v>
      </c>
      <c r="F43" s="90">
        <v>44907</v>
      </c>
      <c r="G43" s="16"/>
      <c r="H43" s="16"/>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row>
    <row r="44" spans="1:64" s="3" customFormat="1" ht="30" customHeight="1" thickBot="1" x14ac:dyDescent="0.3">
      <c r="A44" s="58" t="s">
        <v>26</v>
      </c>
      <c r="B44" s="37" t="s">
        <v>0</v>
      </c>
      <c r="C44" s="38"/>
      <c r="D44" s="39"/>
      <c r="E44" s="40"/>
      <c r="F44" s="41"/>
      <c r="G44" s="42"/>
      <c r="H44" s="42" t="str">
        <f t="shared" si="6"/>
        <v/>
      </c>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row>
    <row r="45" spans="1:64" ht="30" customHeight="1" x14ac:dyDescent="0.25">
      <c r="G45" s="6"/>
    </row>
    <row r="46" spans="1:64" ht="30" customHeight="1" x14ac:dyDescent="0.25">
      <c r="C46" s="14"/>
      <c r="F46" s="59"/>
    </row>
    <row r="47" spans="1:64" ht="30" customHeight="1" x14ac:dyDescent="0.25">
      <c r="C47" s="15"/>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4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4">
    <cfRule type="expression" dxfId="2" priority="33">
      <formula>AND(TODAY()&gt;=I$5,TODAY()&lt;J$5)</formula>
    </cfRule>
  </conditionalFormatting>
  <conditionalFormatting sqref="I7:BL44">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827F0-1BE0-4BFF-B982-C5F1E648232A}">
  <dimension ref="A1:A7"/>
  <sheetViews>
    <sheetView workbookViewId="0">
      <selection activeCell="A8" sqref="A8"/>
    </sheetView>
  </sheetViews>
  <sheetFormatPr defaultRowHeight="15" x14ac:dyDescent="0.25"/>
  <sheetData>
    <row r="1" spans="1:1" x14ac:dyDescent="0.25">
      <c r="A1" t="s">
        <v>52</v>
      </c>
    </row>
    <row r="3" spans="1:1" x14ac:dyDescent="0.25">
      <c r="A3" t="s">
        <v>45</v>
      </c>
    </row>
    <row r="4" spans="1:1" x14ac:dyDescent="0.25">
      <c r="A4" t="s">
        <v>46</v>
      </c>
    </row>
    <row r="5" spans="1:1" x14ac:dyDescent="0.25">
      <c r="A5" t="s">
        <v>47</v>
      </c>
    </row>
    <row r="6" spans="1:1" x14ac:dyDescent="0.25">
      <c r="A6" t="s">
        <v>48</v>
      </c>
    </row>
    <row r="7" spans="1:1" x14ac:dyDescent="0.25">
      <c r="A7"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7" zoomScaleNormal="100" workbookViewId="0">
      <selection activeCell="A10" sqref="A10"/>
    </sheetView>
  </sheetViews>
  <sheetFormatPr defaultColWidth="9.140625" defaultRowHeight="12.75" x14ac:dyDescent="0.2"/>
  <cols>
    <col min="1" max="1" width="87.140625" style="47" customWidth="1"/>
    <col min="2" max="16384" width="9.140625" style="2"/>
  </cols>
  <sheetData>
    <row r="1" spans="1:2" ht="46.5" customHeight="1" x14ac:dyDescent="0.2"/>
    <row r="2" spans="1:2" s="49" customFormat="1" ht="15.75" x14ac:dyDescent="0.25">
      <c r="A2" s="48" t="s">
        <v>12</v>
      </c>
      <c r="B2" s="48"/>
    </row>
    <row r="3" spans="1:2" s="53" customFormat="1" ht="27" customHeight="1" x14ac:dyDescent="0.25">
      <c r="A3" s="82" t="s">
        <v>17</v>
      </c>
      <c r="B3" s="54"/>
    </row>
    <row r="4" spans="1:2" s="50" customFormat="1" ht="26.25" x14ac:dyDescent="0.4">
      <c r="A4" s="51" t="s">
        <v>11</v>
      </c>
    </row>
    <row r="5" spans="1:2" ht="74.099999999999994" customHeight="1" x14ac:dyDescent="0.2">
      <c r="A5" s="52" t="s">
        <v>20</v>
      </c>
    </row>
    <row r="6" spans="1:2" ht="26.25" customHeight="1" x14ac:dyDescent="0.2">
      <c r="A6" s="51" t="s">
        <v>23</v>
      </c>
    </row>
    <row r="7" spans="1:2" s="47" customFormat="1" ht="204.95" customHeight="1" x14ac:dyDescent="0.25">
      <c r="A7" s="56" t="s">
        <v>22</v>
      </c>
    </row>
    <row r="8" spans="1:2" s="50" customFormat="1" ht="26.25" x14ac:dyDescent="0.4">
      <c r="A8" s="51" t="s">
        <v>13</v>
      </c>
    </row>
    <row r="9" spans="1:2" ht="60" x14ac:dyDescent="0.2">
      <c r="A9" s="52" t="s">
        <v>21</v>
      </c>
    </row>
    <row r="10" spans="1:2" s="47" customFormat="1" ht="27.95" customHeight="1" x14ac:dyDescent="0.25">
      <c r="A10" s="55" t="s">
        <v>19</v>
      </c>
    </row>
    <row r="11" spans="1:2" s="50" customFormat="1" ht="26.25" x14ac:dyDescent="0.4">
      <c r="A11" s="51" t="s">
        <v>10</v>
      </c>
    </row>
    <row r="12" spans="1:2" ht="30" x14ac:dyDescent="0.2">
      <c r="A12" s="52" t="s">
        <v>18</v>
      </c>
    </row>
    <row r="13" spans="1:2" s="47" customFormat="1" ht="27.95" customHeight="1" x14ac:dyDescent="0.25">
      <c r="A13" s="55" t="s">
        <v>4</v>
      </c>
    </row>
    <row r="14" spans="1:2" s="50" customFormat="1" ht="26.25" x14ac:dyDescent="0.4">
      <c r="A14" s="51" t="s">
        <v>14</v>
      </c>
    </row>
    <row r="15" spans="1:2" ht="75" customHeight="1" x14ac:dyDescent="0.2">
      <c r="A15" s="52" t="s">
        <v>15</v>
      </c>
    </row>
    <row r="16" spans="1:2" ht="75" x14ac:dyDescent="0.2">
      <c r="A16" s="52"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ProjectSchedule</vt:lpstr>
      <vt:lpstr>Deliverables</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2022-11-08T17:09:34Z</dcterms:modified>
</cp:coreProperties>
</file>