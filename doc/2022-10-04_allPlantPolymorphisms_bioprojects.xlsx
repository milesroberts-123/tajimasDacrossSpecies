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https://d.docs.live.net/d159467a54f2bd9d/Education/MichiganStateUniversity/Josephs_Lab_Projects/tajimasDacrossSpecies/doc/"/>
    </mc:Choice>
  </mc:AlternateContent>
  <xr:revisionPtr revIDLastSave="777" documentId="11_F25DC773A252ABDACC104837A95C598C5BDE58EE" xr6:coauthVersionLast="47" xr6:coauthVersionMax="47" xr10:uidLastSave="{5165D49C-CBCE-4E3A-AEC2-6A96A83394CE}"/>
  <bookViews>
    <workbookView xWindow="-120" yWindow="-120" windowWidth="29040" windowHeight="15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0" i="1" l="1"/>
  <c r="E128" i="1" s="1"/>
  <c r="E129" i="1"/>
</calcChain>
</file>

<file path=xl/sharedStrings.xml><?xml version="1.0" encoding="utf-8"?>
<sst xmlns="http://schemas.openxmlformats.org/spreadsheetml/2006/main" count="453" uniqueCount="286">
  <si>
    <t>Species</t>
  </si>
  <si>
    <t>Publication</t>
  </si>
  <si>
    <t>Bioproject</t>
  </si>
  <si>
    <t>Oryza sativa</t>
  </si>
  <si>
    <t>PRJEB6180</t>
  </si>
  <si>
    <t>PRJNA389800</t>
  </si>
  <si>
    <t>PRJNA260788</t>
  </si>
  <si>
    <t>PRJNA283986</t>
  </si>
  <si>
    <t>PRJNA399729</t>
  </si>
  <si>
    <t>Zea mays</t>
  </si>
  <si>
    <t>Vitis vinifera</t>
  </si>
  <si>
    <t>PRJNA373967</t>
  </si>
  <si>
    <t>PRJNA390884</t>
  </si>
  <si>
    <t>PRJNA385116</t>
  </si>
  <si>
    <t>PRJNA321480</t>
  </si>
  <si>
    <t>PRJEB19338</t>
  </si>
  <si>
    <t>Arabidopsis lyrata</t>
  </si>
  <si>
    <t>SRP045767</t>
  </si>
  <si>
    <t>Solanum lycopersicum</t>
  </si>
  <si>
    <t>Mimulus guttatus</t>
  </si>
  <si>
    <t>https://doi.org/10.1111/mec.13922</t>
  </si>
  <si>
    <t>PRJNA273563</t>
  </si>
  <si>
    <t>Arabidopsis thaliana</t>
  </si>
  <si>
    <t>Triticum aestivum</t>
  </si>
  <si>
    <t>Hordeum vulgare</t>
  </si>
  <si>
    <t>Helianthus annuus</t>
  </si>
  <si>
    <t>Arabidopsis halleri</t>
  </si>
  <si>
    <t>Thinopyrum intermedium</t>
  </si>
  <si>
    <t>Liriodendron tulipifera</t>
  </si>
  <si>
    <t>Diphasiastrum complanatum</t>
  </si>
  <si>
    <t>Amborella trichopoda</t>
  </si>
  <si>
    <t>Sorghum bicolor</t>
  </si>
  <si>
    <t>Triticum turgidum</t>
  </si>
  <si>
    <t>PRJNA183512</t>
  </si>
  <si>
    <t>https://doi-org.proxy2.cl.msu.edu/10.1073/pnas.1215985110</t>
  </si>
  <si>
    <t>PRJDB3777</t>
  </si>
  <si>
    <t>https://doi.org/10.1371/journal.pgen.1005361</t>
  </si>
  <si>
    <t>PRJNA292796</t>
  </si>
  <si>
    <t>https://doi-org.proxy2.cl.msu.edu/10.3732/ajb.1600295</t>
  </si>
  <si>
    <t>oilseed rape</t>
  </si>
  <si>
    <t>SRP155312</t>
  </si>
  <si>
    <t>PRJNA515107</t>
  </si>
  <si>
    <t>https://doi.org/10.1038/s41588-019-0546-0</t>
  </si>
  <si>
    <t>PRJNA527790</t>
  </si>
  <si>
    <t>https://doi.org/10.1038/s41588-019-0518-4</t>
  </si>
  <si>
    <t>Glycine max</t>
  </si>
  <si>
    <t>https:// doi.org/10.1371/journal.pone.0243085</t>
  </si>
  <si>
    <t>see table S1</t>
  </si>
  <si>
    <t>Citrullus lanatus</t>
  </si>
  <si>
    <t>Phaseolus vulgaris</t>
  </si>
  <si>
    <t>Capsella rubella</t>
  </si>
  <si>
    <t>Populus trichocarpa</t>
  </si>
  <si>
    <t>https://doi.org/10.1038/ng.3075</t>
  </si>
  <si>
    <t>PRJEB38910</t>
  </si>
  <si>
    <t>https://doi.org/10.1186%2Fs12870-021-03103-5</t>
  </si>
  <si>
    <t xml:space="preserve">PRJNA516416 </t>
  </si>
  <si>
    <t>PRJNA276056</t>
  </si>
  <si>
    <t>https://doi.org/10.1111/mec.13126</t>
  </si>
  <si>
    <t>PRJEB6689</t>
  </si>
  <si>
    <t>Capsella grandiflora</t>
  </si>
  <si>
    <t>Capsella orientalis</t>
  </si>
  <si>
    <t>PRJEB39830</t>
  </si>
  <si>
    <t>PRJNA505390</t>
  </si>
  <si>
    <t>https://doi.org/10.1534/genetics.118.301589</t>
  </si>
  <si>
    <t>https://doi.org/10.3390/agriculture11070667</t>
  </si>
  <si>
    <t>PRJNA722274</t>
  </si>
  <si>
    <t>Notes</t>
  </si>
  <si>
    <t>Medicago truncatula</t>
  </si>
  <si>
    <t>Cinnamomum kanehirae</t>
  </si>
  <si>
    <t>Nymphaea colorata</t>
  </si>
  <si>
    <t>Aquilegia coerulea</t>
  </si>
  <si>
    <t>Amaranthus hypochondriacus</t>
  </si>
  <si>
    <t>Beta vulgaris</t>
  </si>
  <si>
    <t>Chenopodium quinoa</t>
  </si>
  <si>
    <t>Kalanchoe fedtschenkoi </t>
  </si>
  <si>
    <t>Spinacia oleracea </t>
  </si>
  <si>
    <t>Daucus carota</t>
  </si>
  <si>
    <t>Lactuca sativa</t>
  </si>
  <si>
    <t>Olea europaea</t>
  </si>
  <si>
    <t>Solanum tuberosum</t>
  </si>
  <si>
    <t>Vaccinium darrowii </t>
  </si>
  <si>
    <t>Eucalyptus grandis</t>
  </si>
  <si>
    <t>Arachis hypogaea</t>
  </si>
  <si>
    <t>Betula platyphylla</t>
  </si>
  <si>
    <t>Cicer arietinum </t>
  </si>
  <si>
    <t>Cucumis sativus</t>
  </si>
  <si>
    <t>Fragaria vesca</t>
  </si>
  <si>
    <t>Fragaria x ananassa</t>
  </si>
  <si>
    <t>Glycine soja</t>
  </si>
  <si>
    <t>Lens culinaris</t>
  </si>
  <si>
    <t>Lens ervoides</t>
  </si>
  <si>
    <t>Lotus japonicus</t>
  </si>
  <si>
    <t>Lupinus albus</t>
  </si>
  <si>
    <t>Phaseolus acutifolius</t>
  </si>
  <si>
    <t>Prunus persica</t>
  </si>
  <si>
    <t>Trifolium pratense</t>
  </si>
  <si>
    <t>Carya illinoinensis</t>
  </si>
  <si>
    <t>Vigna unguiculata</t>
  </si>
  <si>
    <t>Corymbia citriodora</t>
  </si>
  <si>
    <t>Linum usitatissimum</t>
  </si>
  <si>
    <t>Manihot esculenta</t>
  </si>
  <si>
    <t>Ricinus communis</t>
  </si>
  <si>
    <t>Salix purpurea</t>
  </si>
  <si>
    <t>Carica papaya</t>
  </si>
  <si>
    <t>Theobroma cacao</t>
  </si>
  <si>
    <t>Boechera stricta</t>
  </si>
  <si>
    <t>Eutrema salsugineum</t>
  </si>
  <si>
    <t>Schrenkiella parvula</t>
  </si>
  <si>
    <t>Brassica oleracea capitata</t>
  </si>
  <si>
    <t>Brassica rapa</t>
  </si>
  <si>
    <t>Gossypium barbadense</t>
  </si>
  <si>
    <t>Gossypium darwinii</t>
  </si>
  <si>
    <t>Gossypium hirsutum </t>
  </si>
  <si>
    <t>Gossypium mustelinum</t>
  </si>
  <si>
    <t>Gossypium raimondii</t>
  </si>
  <si>
    <t>Gossypium tomentosum</t>
  </si>
  <si>
    <t>Citrus clementina</t>
  </si>
  <si>
    <t>Citrus sinensis</t>
  </si>
  <si>
    <t>Poncirus trifoliata</t>
  </si>
  <si>
    <t>Ananas comosus</t>
  </si>
  <si>
    <t>Asparagus officinalis </t>
  </si>
  <si>
    <t>Dioscorea alata</t>
  </si>
  <si>
    <t>Musa acuminata</t>
  </si>
  <si>
    <t>Spirodela polyrhiza</t>
  </si>
  <si>
    <t>Zostera marina </t>
  </si>
  <si>
    <t>Oropetium thomaeum</t>
  </si>
  <si>
    <t>Brachypodium hybridum</t>
  </si>
  <si>
    <t>Brachypodium stacei</t>
  </si>
  <si>
    <t>Brachypodium distachyon</t>
  </si>
  <si>
    <t>Miscanthus sinensis </t>
  </si>
  <si>
    <t>Panicum virgatum</t>
  </si>
  <si>
    <t>Setaria italica </t>
  </si>
  <si>
    <t>Setaria viridis</t>
  </si>
  <si>
    <t>Panicum hallii</t>
  </si>
  <si>
    <t>PRJNA399050</t>
  </si>
  <si>
    <t>PRJEB30531</t>
  </si>
  <si>
    <t>NA</t>
  </si>
  <si>
    <t>couldn't find anything in SRA</t>
  </si>
  <si>
    <t>PRJNA389669</t>
  </si>
  <si>
    <t>https://doi.org/10.1038/s41588-019-0506-8</t>
  </si>
  <si>
    <t>https://doi.org/10.1093/molbev/msz304</t>
  </si>
  <si>
    <t xml:space="preserve">PRJNA548624 </t>
  </si>
  <si>
    <t>RAD-seq</t>
  </si>
  <si>
    <t>PRJDB4621</t>
  </si>
  <si>
    <t>PRJNA479538</t>
  </si>
  <si>
    <t>GBS</t>
  </si>
  <si>
    <t xml:space="preserve">PRJNA687812 </t>
  </si>
  <si>
    <t>PRJEB48367</t>
  </si>
  <si>
    <t>Includes some RILS, not sure if this is good</t>
  </si>
  <si>
    <t>PRJNA815240</t>
  </si>
  <si>
    <t>PRJNA251226</t>
  </si>
  <si>
    <t>https://doi.org/10.1186/s13059-019-1729-9</t>
  </si>
  <si>
    <t>see paper for more bioprojects potentially</t>
  </si>
  <si>
    <t>https://doi.org/10.1038/s41467-020-17302-5</t>
  </si>
  <si>
    <t>See Supplemental Data 4 in publication</t>
  </si>
  <si>
    <t>PRJNA544934</t>
  </si>
  <si>
    <t>https://doi-org.proxy2.cl.msu.edu/10.1093/molbev/msab183</t>
  </si>
  <si>
    <t xml:space="preserve">PRJNA374457 </t>
  </si>
  <si>
    <t xml:space="preserve">PRJNA312457 </t>
  </si>
  <si>
    <t>https://doi.org/10.1038/sdata.2016.119</t>
  </si>
  <si>
    <t>WGS</t>
  </si>
  <si>
    <t>Arabis alpina</t>
  </si>
  <si>
    <t>PRJEB20772</t>
  </si>
  <si>
    <t>https://doi.org/10.1073/pnas.1707492115</t>
  </si>
  <si>
    <t>Not on phytozome</t>
  </si>
  <si>
    <t>Picea abies</t>
  </si>
  <si>
    <t>https://doi.org/10.1093/gbe/evaa005</t>
  </si>
  <si>
    <t>PRJEB34927</t>
  </si>
  <si>
    <t>https://doi.org/10.1111/nph.17793</t>
  </si>
  <si>
    <t>Oak tree</t>
  </si>
  <si>
    <t>SRP054739, SRP134283-SRP134373, SRP134393-SRP134433, SRP134436-SRP134479, SRP134481-SRP134572, and SRP134581-SRP134671</t>
  </si>
  <si>
    <t>https://doi.org/10.1093/gbe/evac043</t>
  </si>
  <si>
    <t>PRJNA673789</t>
  </si>
  <si>
    <t>https://doi.org/10.7554/eLife.66873</t>
  </si>
  <si>
    <t>https://doi.org/10.1038/s41586-021-04066-1</t>
  </si>
  <si>
    <t>PRJNA657888</t>
  </si>
  <si>
    <t xml:space="preserve">PRJNA473768 </t>
  </si>
  <si>
    <t>https://doi.org/10.1038/s41438-018-0080-8</t>
  </si>
  <si>
    <t xml:space="preserve">PRJNA473554 </t>
  </si>
  <si>
    <t>PRJNA171718</t>
  </si>
  <si>
    <t>https://doi.org/10.1038/ng.2801</t>
  </si>
  <si>
    <t>PRJNA576311</t>
  </si>
  <si>
    <t>doi: 10.1093/aob/mcaa122</t>
  </si>
  <si>
    <t>https://doi-org.proxy2.cl.msu.edu/10.1111/eva.13480</t>
  </si>
  <si>
    <t>PRJNA597660</t>
  </si>
  <si>
    <t>https://doi.org/10.1073/pnas.1104032108</t>
  </si>
  <si>
    <t>PRJNA720818</t>
  </si>
  <si>
    <t>https://doi.org/10.1111/pbi.13747</t>
  </si>
  <si>
    <t>https://doi.org/10.1038/s41586-020-2947-8</t>
  </si>
  <si>
    <t>PRJEB36577</t>
  </si>
  <si>
    <t>PRJNA693894</t>
  </si>
  <si>
    <t>https://doi.org/10.1038/s41588-021-00831-0</t>
  </si>
  <si>
    <t>PRJNA639210</t>
  </si>
  <si>
    <t>doi:10.1017/S147926212100006X</t>
  </si>
  <si>
    <t>https://doi.org/10.3389/fpls.2021.628439</t>
  </si>
  <si>
    <t>PRJEB38912</t>
  </si>
  <si>
    <t>SRP001874</t>
  </si>
  <si>
    <t>PRJNA707038</t>
  </si>
  <si>
    <t>couldn't find publication</t>
  </si>
  <si>
    <t>PRJEB27969</t>
  </si>
  <si>
    <t>https://doi.org/10.1038/s41467-019-14213-y</t>
  </si>
  <si>
    <t xml:space="preserve">PRJNA234390 </t>
  </si>
  <si>
    <t>PRJNA234389</t>
  </si>
  <si>
    <t>https://doi.org/10.3732/ajb.1300285</t>
  </si>
  <si>
    <t>no WGS data on SRA, only GBS and RAD-seq</t>
  </si>
  <si>
    <t>PRJNA556567</t>
  </si>
  <si>
    <t>PRJEB35540</t>
  </si>
  <si>
    <t>https://doi.org/10.1186/s12915-020-00881-6</t>
  </si>
  <si>
    <t>https://doi.org/10.1038/s41586-018-0063-9</t>
  </si>
  <si>
    <t>https://doi.org/10.1038/s41467-018-07669-x</t>
  </si>
  <si>
    <t>PRJNA622568</t>
  </si>
  <si>
    <t>doi: 10.1371/journal.pbio.3001681</t>
  </si>
  <si>
    <t>Sample size</t>
  </si>
  <si>
    <t>PRJNA388029</t>
  </si>
  <si>
    <t>doi: 10.1186/s13059-019-1648-9</t>
  </si>
  <si>
    <t>Total number of sequenced individuals</t>
  </si>
  <si>
    <t xml:space="preserve">PRJEB1234 </t>
  </si>
  <si>
    <t>https://doi.org/10.1038/ng.2673</t>
  </si>
  <si>
    <t>PRJNA633413</t>
  </si>
  <si>
    <t>https://doi.org/10.1016/j.molp.2022.07.003</t>
  </si>
  <si>
    <t xml:space="preserve">PRJNA722111 </t>
  </si>
  <si>
    <t>https://doi.org/10.1038/ng.3117</t>
  </si>
  <si>
    <t xml:space="preserve">PRJNA259308 </t>
  </si>
  <si>
    <t>https://doi.org/10.1038/nbt.3535</t>
  </si>
  <si>
    <t xml:space="preserve">PRJNA566151 </t>
  </si>
  <si>
    <t>GBS; difficult to find data in SRA</t>
  </si>
  <si>
    <t>PRJNA779225</t>
  </si>
  <si>
    <t>https://doi.org/10.1186/s12870-022-03770-y</t>
  </si>
  <si>
    <t>GBS; 3333 accessions</t>
  </si>
  <si>
    <t>https://doi-org.proxy2.cl.msu.edu/10.1111/tpj.15853</t>
  </si>
  <si>
    <t>PRJEB50066</t>
  </si>
  <si>
    <t>PRJNA598728 </t>
  </si>
  <si>
    <t>https://doi.org/10.1038/s41467-021-27432-z</t>
  </si>
  <si>
    <t>SAMN12214327 to SAMN12214364</t>
  </si>
  <si>
    <t>https://doi-org.proxy2.cl.msu.edu/10.1111/nph.16056</t>
  </si>
  <si>
    <t>can only find GBS data</t>
  </si>
  <si>
    <t>tons of SRA data</t>
  </si>
  <si>
    <t>PRJNA663409</t>
  </si>
  <si>
    <t>can't find publication</t>
  </si>
  <si>
    <t>PRJEB50028</t>
  </si>
  <si>
    <t>https://doi.org/10.1038/s41467-021-27487-y</t>
  </si>
  <si>
    <t>Total number of species</t>
  </si>
  <si>
    <t>https://doi.org/10.1038/s41467-022-29676-9</t>
  </si>
  <si>
    <t>Not sure if all genomes should be mapped to this reference</t>
  </si>
  <si>
    <t>Data is pooled across individuals</t>
  </si>
  <si>
    <t>https://doi-org.proxy2.cl.msu.edu/10.1093/molbev/msy003</t>
  </si>
  <si>
    <t>Phoenix dactylifera</t>
  </si>
  <si>
    <t>https://doi.org/10.1038/ncomms9824</t>
  </si>
  <si>
    <t>SAMN05852485-SAMN05852522</t>
  </si>
  <si>
    <t>https://doi.org/10.1093/molbev/msab270</t>
  </si>
  <si>
    <t>https://doi.org/10.7554/eLife.43606</t>
  </si>
  <si>
    <t xml:space="preserve">PRJNA680449 </t>
  </si>
  <si>
    <t>https://doi.org/10.1038/s41588-021-00910-2</t>
  </si>
  <si>
    <t>SRP115740; potentially more data here</t>
  </si>
  <si>
    <t>PRJNA170333</t>
  </si>
  <si>
    <t>WGS; maybe include with other M. truncatula sample? This study includes 26 genotypes</t>
  </si>
  <si>
    <t>Potentially a lot more data for this species, but I can't find the raw data on the SRA</t>
  </si>
  <si>
    <t>Includes 3 subspecies</t>
  </si>
  <si>
    <t>Could potentially find more data in SRA?</t>
  </si>
  <si>
    <t>https://doi.org/10.1016/j.cell.2016.05.063</t>
  </si>
  <si>
    <t>Include species in analysis?</t>
  </si>
  <si>
    <t>Added to snakemake input?</t>
  </si>
  <si>
    <t>YES</t>
  </si>
  <si>
    <t>This study seems suspicious, I'm not sure which runs are from GBS data vs runs from WGS data. They are all labeled as WGS data on the SRA, but the associated paper only lists 107 WGS accessions</t>
  </si>
  <si>
    <t>Publication only mentions 50 genomes, but SRA dataset has 52</t>
  </si>
  <si>
    <t>Publication mentions 310 genomes, but only 296 are in the SRA</t>
  </si>
  <si>
    <t>3171 genomes are from this species, but publication mentions 3366</t>
  </si>
  <si>
    <t>Publication mentions 414 genomes, but only 402 are on the SRA and only 337 genomes are of the relevant species</t>
  </si>
  <si>
    <t>Vanilla planifolia</t>
  </si>
  <si>
    <t>coconut</t>
  </si>
  <si>
    <t>Study includes 445 Lactuca accessions, but only 113 lines are Lactuca sativa. The rest are lines from other species</t>
  </si>
  <si>
    <t>Found 137 accessions in the SRA, but paper only mentions 136</t>
  </si>
  <si>
    <t>WGS; only have 44 accessions of Manihot esculenta in SRA, but paper mentions 58, I think it's because paper also looked at hybrids</t>
  </si>
  <si>
    <t>SRA026748</t>
  </si>
  <si>
    <t>https://doi.org/10.1186/1471-2164-15-1160</t>
  </si>
  <si>
    <t>WGS; this is related to the other medicago study in this spreadsheet, but contains many more than 39 biosamples</t>
  </si>
  <si>
    <t>WGS; paper links to 38 genotypes in total, but only mentions 34 newly genotyped lines</t>
  </si>
  <si>
    <t>Study says there is whole genome data for 56 individuals, but SRA only has data for 52</t>
  </si>
  <si>
    <t>Papers only mention 3010 genotypes, but there are 3024 in the SRA</t>
  </si>
  <si>
    <t>Paper metions 732 genotypes but there are 747 on the SRA</t>
  </si>
  <si>
    <t>Some of the accessions in this publication are not Prunus persica</t>
  </si>
  <si>
    <t>916 accessions in publication, but only 909 of these are Setaria italica, others are S. viridis</t>
  </si>
  <si>
    <t>Only 38 accessions are S. viridis, all others are S. italica, maybe I could find more data?</t>
  </si>
  <si>
    <t>WGS; 305 accessions in study but only 296 are S. oleraceae</t>
  </si>
  <si>
    <t>204 accessions in publication, but I only found 117 in SRA</t>
  </si>
  <si>
    <t>WGS; I found 38 accessions in the SRA, but only 36 are mentioned in the publication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</si>
</sst>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sz val="11"/>
      <color rgb="FF2A2A2A"/>
      <name val="Calibri"/>
      <family val="2"/>
      <scheme val="minor"/>
    </font>
    <font>
      <sz val="11"/>
      <color rgb="FF000000"/>
      <name val="Calibri"/>
      <family val="2"/>
      <scheme val="minor"/>
    </font>
    <font>
      <sz val="10"/>
      <color rgb="FF000000"/>
      <name val="Arial"/>
      <family val="2"/>
    </font>
  </fonts>
  <fills count="4">
    <fill>
      <patternFill patternType="none"/>
    </fill>
    <fill>
      <patternFill patternType="gray125"/>
    </fill>
    <fill>
      <patternFill patternType="solid">
        <fgColor rgb="FF92D050"/>
        <bgColor indexed="64"/>
      </patternFill>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7">
    <xf numFmtId="0" fontId="0" fillId="0" borderId="0" xfId="0"/>
    <xf numFmtId="0" fontId="1" fillId="0" borderId="0" xfId="1"/>
    <xf numFmtId="0" fontId="3" fillId="0" borderId="0" xfId="0" applyFont="1"/>
    <xf numFmtId="0" fontId="0" fillId="2" borderId="0" xfId="0" applyFill="1"/>
    <xf numFmtId="0" fontId="2" fillId="2" borderId="0" xfId="0" applyFont="1" applyFill="1"/>
    <xf numFmtId="0" fontId="0" fillId="3" borderId="0" xfId="0" applyFill="1"/>
    <xf numFmtId="0" fontId="1" fillId="2" borderId="0" xfId="1" applyFill="1"/>
    <xf numFmtId="0" fontId="0" fillId="0" borderId="0" xfId="0" applyAlignment="1">
      <alignment wrapText="1"/>
    </xf>
    <xf numFmtId="0" fontId="0" fillId="2" borderId="0" xfId="0" applyFill="1" applyAlignment="1">
      <alignment wrapText="1"/>
    </xf>
    <xf numFmtId="0" fontId="4" fillId="2" borderId="0" xfId="0" applyFont="1" applyFill="1"/>
    <xf numFmtId="0" fontId="0" fillId="0" borderId="0" xfId="0" applyAlignment="1">
      <alignment horizontal="right"/>
    </xf>
    <xf numFmtId="0" fontId="0" fillId="2" borderId="0" xfId="0" applyFill="1" applyAlignment="1">
      <alignment horizontal="right"/>
    </xf>
    <xf numFmtId="3" fontId="0" fillId="2" borderId="0" xfId="0" applyNumberFormat="1" applyFill="1" applyAlignment="1">
      <alignment horizontal="right"/>
    </xf>
    <xf numFmtId="0" fontId="0" fillId="3" borderId="0" xfId="0" applyFill="1" applyAlignment="1">
      <alignment horizontal="right"/>
    </xf>
    <xf numFmtId="0" fontId="0" fillId="0" borderId="0" xfId="0" applyFill="1"/>
    <xf numFmtId="0" fontId="0" fillId="0" borderId="0" xfId="0" applyFill="1" applyAlignment="1">
      <alignment wrapText="1"/>
    </xf>
    <xf numFmtId="0" fontId="0" fillId="0" borderId="0" xfId="0" applyFill="1" applyAlignment="1">
      <alignment horizontal="righ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38/nbt.3535" TargetMode="External"/><Relationship Id="rId2" Type="http://schemas.openxmlformats.org/officeDocument/2006/relationships/hyperlink" Target="https://doi.org/10.1038/s41586-021-04066-1" TargetMode="External"/><Relationship Id="rId1" Type="http://schemas.openxmlformats.org/officeDocument/2006/relationships/hyperlink" Target="https://doi.org/10.1093/gbe/evaa005" TargetMode="External"/><Relationship Id="rId5" Type="http://schemas.openxmlformats.org/officeDocument/2006/relationships/printerSettings" Target="../printerSettings/printerSettings1.bin"/><Relationship Id="rId4" Type="http://schemas.openxmlformats.org/officeDocument/2006/relationships/hyperlink" Target="https://doi.org/10.7554/eLife.4360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9"/>
  <sheetViews>
    <sheetView tabSelected="1" topLeftCell="A55" workbookViewId="0">
      <selection activeCell="G78" sqref="G78"/>
    </sheetView>
  </sheetViews>
  <sheetFormatPr defaultRowHeight="15" x14ac:dyDescent="0.25"/>
  <cols>
    <col min="1" max="1" width="32" customWidth="1"/>
    <col min="2" max="2" width="59" customWidth="1"/>
    <col min="3" max="3" width="31" customWidth="1"/>
    <col min="4" max="4" width="42.28515625" style="7" customWidth="1"/>
    <col min="5" max="5" width="12.28515625" style="10" customWidth="1"/>
    <col min="6" max="6" width="35.7109375" customWidth="1"/>
  </cols>
  <sheetData>
    <row r="1" spans="1:7" x14ac:dyDescent="0.25">
      <c r="A1" t="s">
        <v>0</v>
      </c>
      <c r="B1" t="s">
        <v>1</v>
      </c>
      <c r="C1" t="s">
        <v>2</v>
      </c>
      <c r="D1" s="7" t="s">
        <v>66</v>
      </c>
      <c r="E1" s="10" t="s">
        <v>212</v>
      </c>
      <c r="F1" t="s">
        <v>260</v>
      </c>
      <c r="G1" t="s">
        <v>261</v>
      </c>
    </row>
    <row r="2" spans="1:7" s="3" customFormat="1" x14ac:dyDescent="0.25">
      <c r="A2" s="3" t="s">
        <v>71</v>
      </c>
      <c r="B2" s="3" t="s">
        <v>140</v>
      </c>
      <c r="C2" s="3" t="s">
        <v>135</v>
      </c>
      <c r="D2" s="8"/>
      <c r="E2" s="11">
        <v>48</v>
      </c>
      <c r="F2" s="3">
        <v>1</v>
      </c>
      <c r="G2" s="3" t="s">
        <v>262</v>
      </c>
    </row>
    <row r="3" spans="1:7" x14ac:dyDescent="0.25">
      <c r="A3" t="s">
        <v>30</v>
      </c>
      <c r="C3" t="s">
        <v>136</v>
      </c>
      <c r="D3" s="7" t="s">
        <v>137</v>
      </c>
    </row>
    <row r="4" spans="1:7" s="3" customFormat="1" x14ac:dyDescent="0.25">
      <c r="A4" s="3" t="s">
        <v>119</v>
      </c>
      <c r="B4" s="3" t="s">
        <v>139</v>
      </c>
      <c r="C4" s="3" t="s">
        <v>138</v>
      </c>
      <c r="D4" s="8"/>
      <c r="E4" s="11">
        <v>87</v>
      </c>
      <c r="F4" s="3">
        <v>1</v>
      </c>
      <c r="G4" s="3" t="s">
        <v>262</v>
      </c>
    </row>
    <row r="5" spans="1:7" x14ac:dyDescent="0.25">
      <c r="A5" t="s">
        <v>70</v>
      </c>
      <c r="C5" t="s">
        <v>136</v>
      </c>
      <c r="D5" s="7" t="s">
        <v>137</v>
      </c>
    </row>
    <row r="6" spans="1:7" s="3" customFormat="1" x14ac:dyDescent="0.25">
      <c r="A6" s="3" t="s">
        <v>26</v>
      </c>
      <c r="B6" s="3" t="s">
        <v>36</v>
      </c>
      <c r="C6" s="3" t="s">
        <v>35</v>
      </c>
      <c r="D6" s="8"/>
      <c r="E6" s="11">
        <v>56</v>
      </c>
      <c r="F6" s="3">
        <v>1</v>
      </c>
      <c r="G6" s="3" t="s">
        <v>262</v>
      </c>
    </row>
    <row r="7" spans="1:7" x14ac:dyDescent="0.25">
      <c r="A7" t="s">
        <v>16</v>
      </c>
      <c r="B7" t="s">
        <v>245</v>
      </c>
      <c r="C7" t="s">
        <v>15</v>
      </c>
      <c r="D7" s="7" t="s">
        <v>244</v>
      </c>
    </row>
    <row r="8" spans="1:7" s="3" customFormat="1" x14ac:dyDescent="0.25">
      <c r="A8" s="3" t="s">
        <v>22</v>
      </c>
      <c r="B8" s="3" t="s">
        <v>259</v>
      </c>
      <c r="C8" s="3" t="s">
        <v>21</v>
      </c>
      <c r="D8" s="8"/>
      <c r="E8" s="11">
        <v>1135</v>
      </c>
      <c r="F8" s="3">
        <v>1</v>
      </c>
      <c r="G8" s="3" t="s">
        <v>262</v>
      </c>
    </row>
    <row r="9" spans="1:7" x14ac:dyDescent="0.25">
      <c r="A9" t="s">
        <v>82</v>
      </c>
      <c r="C9" t="s">
        <v>143</v>
      </c>
      <c r="D9" s="7" t="s">
        <v>142</v>
      </c>
    </row>
    <row r="10" spans="1:7" x14ac:dyDescent="0.25">
      <c r="A10" t="s">
        <v>82</v>
      </c>
      <c r="C10" t="s">
        <v>141</v>
      </c>
      <c r="D10" s="7" t="s">
        <v>142</v>
      </c>
    </row>
    <row r="11" spans="1:7" x14ac:dyDescent="0.25">
      <c r="A11" t="s">
        <v>82</v>
      </c>
      <c r="C11" t="s">
        <v>144</v>
      </c>
      <c r="D11" s="7" t="s">
        <v>145</v>
      </c>
    </row>
    <row r="12" spans="1:7" x14ac:dyDescent="0.25">
      <c r="A12" t="s">
        <v>82</v>
      </c>
      <c r="C12" t="s">
        <v>146</v>
      </c>
      <c r="D12" s="7" t="s">
        <v>145</v>
      </c>
    </row>
    <row r="13" spans="1:7" x14ac:dyDescent="0.25">
      <c r="A13" t="s">
        <v>120</v>
      </c>
      <c r="C13" t="s">
        <v>147</v>
      </c>
      <c r="D13" s="7" t="s">
        <v>148</v>
      </c>
    </row>
    <row r="14" spans="1:7" s="3" customFormat="1" ht="30" x14ac:dyDescent="0.25">
      <c r="A14" s="3" t="s">
        <v>72</v>
      </c>
      <c r="B14" s="3" t="s">
        <v>242</v>
      </c>
      <c r="C14" s="3" t="s">
        <v>149</v>
      </c>
      <c r="D14" s="8" t="s">
        <v>243</v>
      </c>
      <c r="E14" s="11">
        <v>597</v>
      </c>
      <c r="F14" s="3">
        <v>1</v>
      </c>
      <c r="G14" s="3" t="s">
        <v>262</v>
      </c>
    </row>
    <row r="15" spans="1:7" x14ac:dyDescent="0.25">
      <c r="A15" t="s">
        <v>83</v>
      </c>
      <c r="C15" t="s">
        <v>136</v>
      </c>
      <c r="D15" s="7" t="s">
        <v>137</v>
      </c>
    </row>
    <row r="16" spans="1:7" s="3" customFormat="1" x14ac:dyDescent="0.25">
      <c r="A16" s="3" t="s">
        <v>105</v>
      </c>
      <c r="B16" s="3" t="s">
        <v>171</v>
      </c>
      <c r="C16" s="4" t="s">
        <v>170</v>
      </c>
      <c r="D16" s="8"/>
      <c r="E16" s="11">
        <v>467</v>
      </c>
      <c r="F16" s="3">
        <v>1</v>
      </c>
    </row>
    <row r="17" spans="1:7" x14ac:dyDescent="0.25">
      <c r="A17" t="s">
        <v>105</v>
      </c>
      <c r="B17" t="s">
        <v>151</v>
      </c>
      <c r="C17" t="s">
        <v>150</v>
      </c>
      <c r="D17" s="7" t="s">
        <v>152</v>
      </c>
    </row>
    <row r="18" spans="1:7" s="3" customFormat="1" ht="75" x14ac:dyDescent="0.25">
      <c r="A18" s="3" t="s">
        <v>128</v>
      </c>
      <c r="B18" s="3" t="s">
        <v>63</v>
      </c>
      <c r="C18" s="3" t="s">
        <v>62</v>
      </c>
      <c r="D18" s="8" t="s">
        <v>263</v>
      </c>
      <c r="E18" s="11">
        <v>107</v>
      </c>
      <c r="F18" s="3">
        <v>1</v>
      </c>
    </row>
    <row r="19" spans="1:7" x14ac:dyDescent="0.25">
      <c r="A19" t="s">
        <v>126</v>
      </c>
      <c r="B19" t="s">
        <v>153</v>
      </c>
      <c r="D19" s="7" t="s">
        <v>154</v>
      </c>
    </row>
    <row r="20" spans="1:7" x14ac:dyDescent="0.25">
      <c r="A20" t="s">
        <v>127</v>
      </c>
      <c r="C20" t="s">
        <v>136</v>
      </c>
      <c r="D20" s="7" t="s">
        <v>137</v>
      </c>
    </row>
    <row r="21" spans="1:7" x14ac:dyDescent="0.25">
      <c r="A21" t="s">
        <v>108</v>
      </c>
      <c r="B21" t="s">
        <v>156</v>
      </c>
      <c r="C21" t="s">
        <v>155</v>
      </c>
    </row>
    <row r="22" spans="1:7" s="3" customFormat="1" x14ac:dyDescent="0.25">
      <c r="A22" s="3" t="s">
        <v>108</v>
      </c>
      <c r="B22" s="3" t="s">
        <v>159</v>
      </c>
      <c r="C22" s="3" t="s">
        <v>158</v>
      </c>
      <c r="D22" s="8" t="s">
        <v>160</v>
      </c>
      <c r="E22" s="11">
        <v>119</v>
      </c>
      <c r="F22" s="3">
        <v>1</v>
      </c>
      <c r="G22" s="3" t="s">
        <v>262</v>
      </c>
    </row>
    <row r="23" spans="1:7" s="3" customFormat="1" x14ac:dyDescent="0.25">
      <c r="A23" s="3" t="s">
        <v>109</v>
      </c>
      <c r="B23" s="3" t="s">
        <v>159</v>
      </c>
      <c r="C23" s="3" t="s">
        <v>158</v>
      </c>
      <c r="D23" s="8" t="s">
        <v>160</v>
      </c>
      <c r="E23" s="11">
        <v>199</v>
      </c>
      <c r="F23" s="3">
        <v>1</v>
      </c>
      <c r="G23" s="3" t="s">
        <v>262</v>
      </c>
    </row>
    <row r="24" spans="1:7" x14ac:dyDescent="0.25">
      <c r="A24" t="s">
        <v>109</v>
      </c>
      <c r="C24" t="s">
        <v>157</v>
      </c>
      <c r="D24" s="7" t="s">
        <v>145</v>
      </c>
    </row>
    <row r="25" spans="1:7" s="3" customFormat="1" x14ac:dyDescent="0.25">
      <c r="A25" s="3" t="s">
        <v>59</v>
      </c>
      <c r="B25" s="3" t="s">
        <v>249</v>
      </c>
      <c r="C25" s="3" t="s">
        <v>61</v>
      </c>
      <c r="D25" s="8" t="s">
        <v>160</v>
      </c>
      <c r="E25" s="11">
        <v>40</v>
      </c>
      <c r="F25" s="3">
        <v>1</v>
      </c>
      <c r="G25" s="3" t="s">
        <v>262</v>
      </c>
    </row>
    <row r="26" spans="1:7" x14ac:dyDescent="0.25">
      <c r="A26" t="s">
        <v>59</v>
      </c>
      <c r="C26" t="s">
        <v>58</v>
      </c>
    </row>
    <row r="27" spans="1:7" x14ac:dyDescent="0.25">
      <c r="A27" t="s">
        <v>60</v>
      </c>
      <c r="C27" t="s">
        <v>58</v>
      </c>
      <c r="D27" s="7" t="s">
        <v>164</v>
      </c>
    </row>
    <row r="28" spans="1:7" s="3" customFormat="1" ht="30" x14ac:dyDescent="0.25">
      <c r="A28" s="3" t="s">
        <v>50</v>
      </c>
      <c r="B28" s="6" t="s">
        <v>250</v>
      </c>
      <c r="C28" s="3" t="s">
        <v>58</v>
      </c>
      <c r="D28" s="8" t="s">
        <v>264</v>
      </c>
      <c r="E28" s="11">
        <v>52</v>
      </c>
      <c r="F28" s="3">
        <v>1</v>
      </c>
      <c r="G28" s="3" t="s">
        <v>262</v>
      </c>
    </row>
    <row r="29" spans="1:7" x14ac:dyDescent="0.25">
      <c r="A29" t="s">
        <v>103</v>
      </c>
      <c r="C29" t="s">
        <v>136</v>
      </c>
      <c r="D29" s="7" t="s">
        <v>137</v>
      </c>
    </row>
    <row r="30" spans="1:7" x14ac:dyDescent="0.25">
      <c r="A30" t="s">
        <v>96</v>
      </c>
      <c r="C30" t="s">
        <v>136</v>
      </c>
      <c r="D30" s="7" t="s">
        <v>137</v>
      </c>
    </row>
    <row r="31" spans="1:7" s="3" customFormat="1" ht="30" x14ac:dyDescent="0.25">
      <c r="A31" s="3" t="s">
        <v>73</v>
      </c>
      <c r="B31" s="3" t="s">
        <v>173</v>
      </c>
      <c r="C31" s="3" t="s">
        <v>172</v>
      </c>
      <c r="D31" s="8" t="s">
        <v>265</v>
      </c>
      <c r="E31" s="11">
        <v>296</v>
      </c>
      <c r="F31" s="3">
        <v>1</v>
      </c>
      <c r="G31" s="3" t="s">
        <v>262</v>
      </c>
    </row>
    <row r="32" spans="1:7" s="3" customFormat="1" ht="30" x14ac:dyDescent="0.25">
      <c r="A32" s="3" t="s">
        <v>84</v>
      </c>
      <c r="B32" s="6" t="s">
        <v>174</v>
      </c>
      <c r="C32" s="3" t="s">
        <v>175</v>
      </c>
      <c r="D32" s="8" t="s">
        <v>266</v>
      </c>
      <c r="E32" s="11">
        <v>3171</v>
      </c>
      <c r="F32" s="3">
        <v>1</v>
      </c>
      <c r="G32" s="3" t="s">
        <v>262</v>
      </c>
    </row>
    <row r="33" spans="1:7" x14ac:dyDescent="0.25">
      <c r="A33" t="s">
        <v>68</v>
      </c>
      <c r="C33" t="s">
        <v>136</v>
      </c>
      <c r="D33" s="7" t="s">
        <v>137</v>
      </c>
    </row>
    <row r="34" spans="1:7" s="3" customFormat="1" ht="45" x14ac:dyDescent="0.25">
      <c r="A34" s="3" t="s">
        <v>48</v>
      </c>
      <c r="B34" s="3" t="s">
        <v>44</v>
      </c>
      <c r="C34" s="3" t="s">
        <v>43</v>
      </c>
      <c r="D34" s="8" t="s">
        <v>267</v>
      </c>
      <c r="E34" s="11">
        <v>337</v>
      </c>
      <c r="F34" s="3">
        <v>1</v>
      </c>
      <c r="G34" s="3" t="s">
        <v>262</v>
      </c>
    </row>
    <row r="35" spans="1:7" x14ac:dyDescent="0.25">
      <c r="A35" t="s">
        <v>116</v>
      </c>
      <c r="C35" t="s">
        <v>136</v>
      </c>
      <c r="D35" s="7" t="s">
        <v>137</v>
      </c>
    </row>
    <row r="36" spans="1:7" x14ac:dyDescent="0.25">
      <c r="A36" t="s">
        <v>117</v>
      </c>
      <c r="C36" t="s">
        <v>136</v>
      </c>
      <c r="D36" s="7" t="s">
        <v>137</v>
      </c>
    </row>
    <row r="37" spans="1:7" x14ac:dyDescent="0.25">
      <c r="A37" t="s">
        <v>98</v>
      </c>
      <c r="C37" t="s">
        <v>136</v>
      </c>
      <c r="D37" s="7" t="s">
        <v>137</v>
      </c>
    </row>
    <row r="38" spans="1:7" s="3" customFormat="1" x14ac:dyDescent="0.25">
      <c r="A38" s="3" t="s">
        <v>85</v>
      </c>
      <c r="B38" s="3" t="s">
        <v>180</v>
      </c>
      <c r="C38" s="3" t="s">
        <v>179</v>
      </c>
      <c r="D38" s="8" t="s">
        <v>160</v>
      </c>
      <c r="E38" s="11">
        <v>115</v>
      </c>
      <c r="F38" s="3">
        <v>1</v>
      </c>
      <c r="G38" s="3" t="s">
        <v>262</v>
      </c>
    </row>
    <row r="39" spans="1:7" x14ac:dyDescent="0.25">
      <c r="A39" t="s">
        <v>85</v>
      </c>
      <c r="B39" t="s">
        <v>177</v>
      </c>
      <c r="C39" t="s">
        <v>178</v>
      </c>
      <c r="D39" s="7" t="s">
        <v>145</v>
      </c>
    </row>
    <row r="40" spans="1:7" x14ac:dyDescent="0.25">
      <c r="A40" t="s">
        <v>85</v>
      </c>
      <c r="B40" t="s">
        <v>177</v>
      </c>
      <c r="C40" t="s">
        <v>176</v>
      </c>
      <c r="D40" s="7" t="s">
        <v>145</v>
      </c>
    </row>
    <row r="41" spans="1:7" x14ac:dyDescent="0.25">
      <c r="A41" t="s">
        <v>76</v>
      </c>
      <c r="C41" t="s">
        <v>136</v>
      </c>
      <c r="D41" s="7" t="s">
        <v>137</v>
      </c>
    </row>
    <row r="42" spans="1:7" x14ac:dyDescent="0.25">
      <c r="A42" t="s">
        <v>121</v>
      </c>
      <c r="B42" t="s">
        <v>182</v>
      </c>
      <c r="C42" t="s">
        <v>181</v>
      </c>
      <c r="D42" s="7" t="s">
        <v>145</v>
      </c>
    </row>
    <row r="43" spans="1:7" x14ac:dyDescent="0.25">
      <c r="A43" t="s">
        <v>29</v>
      </c>
      <c r="C43" t="s">
        <v>136</v>
      </c>
      <c r="D43" s="7" t="s">
        <v>137</v>
      </c>
    </row>
    <row r="44" spans="1:7" x14ac:dyDescent="0.25">
      <c r="A44" t="s">
        <v>81</v>
      </c>
      <c r="C44" t="s">
        <v>136</v>
      </c>
      <c r="D44" s="7" t="s">
        <v>137</v>
      </c>
    </row>
    <row r="45" spans="1:7" x14ac:dyDescent="0.25">
      <c r="A45" t="s">
        <v>106</v>
      </c>
      <c r="C45" t="s">
        <v>136</v>
      </c>
      <c r="D45" s="7" t="s">
        <v>137</v>
      </c>
    </row>
    <row r="46" spans="1:7" x14ac:dyDescent="0.25">
      <c r="A46" t="s">
        <v>86</v>
      </c>
      <c r="C46" t="s">
        <v>136</v>
      </c>
      <c r="D46" s="7" t="s">
        <v>137</v>
      </c>
    </row>
    <row r="47" spans="1:7" x14ac:dyDescent="0.25">
      <c r="A47" t="s">
        <v>87</v>
      </c>
      <c r="C47" t="s">
        <v>136</v>
      </c>
      <c r="D47" s="7" t="s">
        <v>137</v>
      </c>
    </row>
    <row r="48" spans="1:7" s="3" customFormat="1" x14ac:dyDescent="0.25">
      <c r="A48" s="3" t="s">
        <v>45</v>
      </c>
      <c r="B48" s="3" t="s">
        <v>46</v>
      </c>
      <c r="C48" s="3" t="s">
        <v>47</v>
      </c>
      <c r="D48" s="8" t="s">
        <v>258</v>
      </c>
      <c r="E48" s="11">
        <v>438</v>
      </c>
      <c r="F48" s="3">
        <v>1</v>
      </c>
    </row>
    <row r="49" spans="1:7" s="3" customFormat="1" x14ac:dyDescent="0.25">
      <c r="A49" s="3" t="s">
        <v>88</v>
      </c>
      <c r="B49" s="3" t="s">
        <v>183</v>
      </c>
      <c r="C49" s="9" t="s">
        <v>184</v>
      </c>
      <c r="D49" s="8"/>
      <c r="E49" s="11">
        <v>185</v>
      </c>
      <c r="F49" s="3">
        <v>1</v>
      </c>
      <c r="G49" s="3" t="s">
        <v>262</v>
      </c>
    </row>
    <row r="50" spans="1:7" s="3" customFormat="1" x14ac:dyDescent="0.25">
      <c r="A50" s="3" t="s">
        <v>110</v>
      </c>
      <c r="B50" s="3" t="s">
        <v>187</v>
      </c>
      <c r="C50" s="3" t="s">
        <v>186</v>
      </c>
      <c r="D50" s="8"/>
      <c r="E50" s="11">
        <v>336</v>
      </c>
      <c r="F50" s="3">
        <v>1</v>
      </c>
      <c r="G50" s="3" t="s">
        <v>262</v>
      </c>
    </row>
    <row r="51" spans="1:7" x14ac:dyDescent="0.25">
      <c r="A51" t="s">
        <v>111</v>
      </c>
      <c r="C51" t="s">
        <v>136</v>
      </c>
      <c r="D51" s="7" t="s">
        <v>137</v>
      </c>
    </row>
    <row r="52" spans="1:7" s="3" customFormat="1" x14ac:dyDescent="0.25">
      <c r="A52" s="3" t="s">
        <v>112</v>
      </c>
      <c r="B52" s="3" t="s">
        <v>252</v>
      </c>
      <c r="C52" s="3" t="s">
        <v>251</v>
      </c>
      <c r="D52" s="8"/>
      <c r="E52" s="11">
        <v>1081</v>
      </c>
      <c r="F52" s="3">
        <v>1</v>
      </c>
      <c r="G52" s="3" t="s">
        <v>262</v>
      </c>
    </row>
    <row r="53" spans="1:7" x14ac:dyDescent="0.25">
      <c r="A53" t="s">
        <v>112</v>
      </c>
      <c r="C53" s="2" t="s">
        <v>134</v>
      </c>
      <c r="D53" s="7" t="s">
        <v>253</v>
      </c>
    </row>
    <row r="54" spans="1:7" x14ac:dyDescent="0.25">
      <c r="A54" t="s">
        <v>113</v>
      </c>
      <c r="C54" t="s">
        <v>136</v>
      </c>
      <c r="D54" s="7" t="s">
        <v>137</v>
      </c>
    </row>
    <row r="55" spans="1:7" x14ac:dyDescent="0.25">
      <c r="A55" t="s">
        <v>114</v>
      </c>
      <c r="C55" t="s">
        <v>136</v>
      </c>
      <c r="D55" s="7" t="s">
        <v>137</v>
      </c>
    </row>
    <row r="56" spans="1:7" x14ac:dyDescent="0.25">
      <c r="A56" t="s">
        <v>115</v>
      </c>
      <c r="C56" t="s">
        <v>136</v>
      </c>
      <c r="D56" s="7" t="s">
        <v>137</v>
      </c>
    </row>
    <row r="57" spans="1:7" x14ac:dyDescent="0.25">
      <c r="A57" t="s">
        <v>25</v>
      </c>
      <c r="B57" t="s">
        <v>38</v>
      </c>
      <c r="C57" t="s">
        <v>37</v>
      </c>
      <c r="D57" s="7" t="s">
        <v>145</v>
      </c>
    </row>
    <row r="58" spans="1:7" s="3" customFormat="1" x14ac:dyDescent="0.25">
      <c r="A58" s="3" t="s">
        <v>24</v>
      </c>
      <c r="B58" s="3" t="s">
        <v>188</v>
      </c>
      <c r="C58" s="3" t="s">
        <v>189</v>
      </c>
      <c r="D58" s="8"/>
      <c r="E58" s="11">
        <v>300</v>
      </c>
      <c r="F58" s="3">
        <v>1</v>
      </c>
      <c r="G58" s="3" t="s">
        <v>262</v>
      </c>
    </row>
    <row r="59" spans="1:7" x14ac:dyDescent="0.25">
      <c r="A59" t="s">
        <v>74</v>
      </c>
      <c r="C59" t="s">
        <v>136</v>
      </c>
      <c r="D59" s="7" t="s">
        <v>137</v>
      </c>
    </row>
    <row r="60" spans="1:7" s="3" customFormat="1" ht="45" x14ac:dyDescent="0.25">
      <c r="A60" s="3" t="s">
        <v>77</v>
      </c>
      <c r="B60" s="3" t="s">
        <v>191</v>
      </c>
      <c r="C60" s="3" t="s">
        <v>190</v>
      </c>
      <c r="D60" s="8" t="s">
        <v>270</v>
      </c>
      <c r="E60" s="11">
        <v>131</v>
      </c>
      <c r="F60" s="3">
        <v>1</v>
      </c>
      <c r="G60" s="3" t="s">
        <v>262</v>
      </c>
    </row>
    <row r="61" spans="1:7" x14ac:dyDescent="0.25">
      <c r="A61" t="s">
        <v>89</v>
      </c>
      <c r="B61" t="s">
        <v>193</v>
      </c>
      <c r="C61" t="s">
        <v>192</v>
      </c>
      <c r="D61" s="7" t="s">
        <v>145</v>
      </c>
    </row>
    <row r="62" spans="1:7" x14ac:dyDescent="0.25">
      <c r="A62" t="s">
        <v>90</v>
      </c>
      <c r="B62" t="s">
        <v>194</v>
      </c>
      <c r="C62" t="s">
        <v>195</v>
      </c>
      <c r="D62" s="7" t="s">
        <v>145</v>
      </c>
    </row>
    <row r="63" spans="1:7" x14ac:dyDescent="0.25">
      <c r="A63" t="s">
        <v>99</v>
      </c>
      <c r="B63" t="s">
        <v>136</v>
      </c>
      <c r="C63" t="s">
        <v>197</v>
      </c>
      <c r="D63" s="7" t="s">
        <v>198</v>
      </c>
    </row>
    <row r="64" spans="1:7" x14ac:dyDescent="0.25">
      <c r="A64" t="s">
        <v>28</v>
      </c>
      <c r="C64" t="s">
        <v>136</v>
      </c>
      <c r="D64" s="7" t="s">
        <v>137</v>
      </c>
    </row>
    <row r="65" spans="1:7" s="3" customFormat="1" ht="30" x14ac:dyDescent="0.25">
      <c r="A65" s="3" t="s">
        <v>91</v>
      </c>
      <c r="B65" s="3" t="s">
        <v>200</v>
      </c>
      <c r="C65" s="3" t="s">
        <v>199</v>
      </c>
      <c r="D65" s="8" t="s">
        <v>271</v>
      </c>
      <c r="E65" s="11">
        <v>136</v>
      </c>
      <c r="F65" s="3">
        <v>1</v>
      </c>
      <c r="G65" s="3" t="s">
        <v>262</v>
      </c>
    </row>
    <row r="66" spans="1:7" x14ac:dyDescent="0.25">
      <c r="A66" t="s">
        <v>92</v>
      </c>
      <c r="C66" t="s">
        <v>136</v>
      </c>
      <c r="D66" s="7" t="s">
        <v>137</v>
      </c>
    </row>
    <row r="67" spans="1:7" s="3" customFormat="1" ht="60" x14ac:dyDescent="0.25">
      <c r="A67" s="3" t="s">
        <v>100</v>
      </c>
      <c r="B67" s="6" t="s">
        <v>223</v>
      </c>
      <c r="C67" s="3" t="s">
        <v>202</v>
      </c>
      <c r="D67" s="8" t="s">
        <v>272</v>
      </c>
      <c r="E67" s="11">
        <v>44</v>
      </c>
      <c r="F67" s="3">
        <v>1</v>
      </c>
      <c r="G67" s="3" t="s">
        <v>262</v>
      </c>
    </row>
    <row r="68" spans="1:7" x14ac:dyDescent="0.25">
      <c r="A68" t="s">
        <v>100</v>
      </c>
      <c r="C68" t="s">
        <v>201</v>
      </c>
      <c r="D68" s="7" t="s">
        <v>145</v>
      </c>
    </row>
    <row r="69" spans="1:7" s="3" customFormat="1" x14ac:dyDescent="0.25">
      <c r="A69" s="3" t="s">
        <v>67</v>
      </c>
      <c r="B69" s="3" t="s">
        <v>274</v>
      </c>
      <c r="C69" s="3" t="s">
        <v>273</v>
      </c>
      <c r="D69" s="8" t="s">
        <v>160</v>
      </c>
      <c r="E69" s="3">
        <v>39</v>
      </c>
      <c r="F69" s="3">
        <v>1</v>
      </c>
      <c r="G69" s="3" t="s">
        <v>262</v>
      </c>
    </row>
    <row r="70" spans="1:7" s="14" customFormat="1" ht="45" x14ac:dyDescent="0.25">
      <c r="A70" s="14" t="s">
        <v>67</v>
      </c>
      <c r="B70" s="14" t="s">
        <v>203</v>
      </c>
      <c r="C70" s="14" t="s">
        <v>254</v>
      </c>
      <c r="D70" s="15" t="s">
        <v>275</v>
      </c>
      <c r="E70" s="16"/>
    </row>
    <row r="71" spans="1:7" ht="30" x14ac:dyDescent="0.25">
      <c r="A71" t="s">
        <v>67</v>
      </c>
      <c r="B71" t="s">
        <v>185</v>
      </c>
      <c r="C71" t="s">
        <v>196</v>
      </c>
      <c r="D71" s="7" t="s">
        <v>255</v>
      </c>
    </row>
    <row r="72" spans="1:7" s="3" customFormat="1" ht="30" x14ac:dyDescent="0.25">
      <c r="A72" s="3" t="s">
        <v>19</v>
      </c>
      <c r="B72" s="3" t="s">
        <v>20</v>
      </c>
      <c r="C72" s="3" t="s">
        <v>248</v>
      </c>
      <c r="D72" s="8" t="s">
        <v>276</v>
      </c>
      <c r="E72" s="11">
        <v>38</v>
      </c>
      <c r="F72" s="3">
        <v>1</v>
      </c>
      <c r="G72" s="3" t="s">
        <v>262</v>
      </c>
    </row>
    <row r="73" spans="1:7" x14ac:dyDescent="0.25">
      <c r="A73" t="s">
        <v>129</v>
      </c>
      <c r="C73" t="s">
        <v>136</v>
      </c>
      <c r="D73" s="7" t="s">
        <v>204</v>
      </c>
    </row>
    <row r="74" spans="1:7" x14ac:dyDescent="0.25">
      <c r="A74" t="s">
        <v>122</v>
      </c>
      <c r="C74" t="s">
        <v>136</v>
      </c>
      <c r="D74" s="7" t="s">
        <v>204</v>
      </c>
    </row>
    <row r="75" spans="1:7" x14ac:dyDescent="0.25">
      <c r="A75" t="s">
        <v>69</v>
      </c>
      <c r="C75" t="s">
        <v>136</v>
      </c>
      <c r="D75" s="7" t="s">
        <v>137</v>
      </c>
    </row>
    <row r="76" spans="1:7" s="3" customFormat="1" ht="30" x14ac:dyDescent="0.25">
      <c r="A76" s="3" t="s">
        <v>78</v>
      </c>
      <c r="B76" s="3" t="s">
        <v>207</v>
      </c>
      <c r="C76" s="3" t="s">
        <v>206</v>
      </c>
      <c r="D76" s="8" t="s">
        <v>277</v>
      </c>
      <c r="E76" s="11">
        <v>52</v>
      </c>
      <c r="F76" s="3">
        <v>1</v>
      </c>
      <c r="G76" s="3" t="s">
        <v>262</v>
      </c>
    </row>
    <row r="77" spans="1:7" x14ac:dyDescent="0.25">
      <c r="A77" t="s">
        <v>78</v>
      </c>
      <c r="B77" t="s">
        <v>136</v>
      </c>
      <c r="C77" t="s">
        <v>205</v>
      </c>
    </row>
    <row r="78" spans="1:7" x14ac:dyDescent="0.25">
      <c r="A78" t="s">
        <v>125</v>
      </c>
      <c r="B78" t="s">
        <v>136</v>
      </c>
      <c r="C78" t="s">
        <v>136</v>
      </c>
      <c r="D78" s="7" t="s">
        <v>137</v>
      </c>
    </row>
    <row r="79" spans="1:7" s="3" customFormat="1" ht="30" x14ac:dyDescent="0.25">
      <c r="A79" s="3" t="s">
        <v>3</v>
      </c>
      <c r="B79" s="3" t="s">
        <v>208</v>
      </c>
      <c r="C79" s="3" t="s">
        <v>4</v>
      </c>
      <c r="D79" s="8" t="s">
        <v>278</v>
      </c>
      <c r="E79" s="12">
        <v>3024</v>
      </c>
      <c r="F79" s="3">
        <v>1</v>
      </c>
      <c r="G79" s="3" t="s">
        <v>262</v>
      </c>
    </row>
    <row r="80" spans="1:7" s="3" customFormat="1" x14ac:dyDescent="0.25">
      <c r="A80" s="3" t="s">
        <v>133</v>
      </c>
      <c r="B80" s="3" t="s">
        <v>209</v>
      </c>
      <c r="C80" s="3" t="s">
        <v>47</v>
      </c>
      <c r="D80" s="8" t="s">
        <v>257</v>
      </c>
      <c r="E80" s="11">
        <f>94+78+15</f>
        <v>187</v>
      </c>
      <c r="F80" s="3">
        <v>1</v>
      </c>
    </row>
    <row r="81" spans="1:7" s="3" customFormat="1" ht="30" x14ac:dyDescent="0.25">
      <c r="A81" s="3" t="s">
        <v>130</v>
      </c>
      <c r="B81" s="3" t="s">
        <v>211</v>
      </c>
      <c r="C81" s="3" t="s">
        <v>210</v>
      </c>
      <c r="D81" s="8" t="s">
        <v>279</v>
      </c>
      <c r="E81" s="11">
        <v>747</v>
      </c>
      <c r="F81" s="3">
        <v>1</v>
      </c>
      <c r="G81" s="3" t="s">
        <v>262</v>
      </c>
    </row>
    <row r="82" spans="1:7" x14ac:dyDescent="0.25">
      <c r="A82" t="s">
        <v>93</v>
      </c>
      <c r="C82" t="s">
        <v>136</v>
      </c>
      <c r="D82" s="7" t="s">
        <v>137</v>
      </c>
    </row>
    <row r="83" spans="1:7" s="3" customFormat="1" x14ac:dyDescent="0.25">
      <c r="A83" s="3" t="s">
        <v>49</v>
      </c>
      <c r="B83" s="3" t="s">
        <v>42</v>
      </c>
      <c r="C83" s="3" t="s">
        <v>41</v>
      </c>
      <c r="D83" s="8"/>
      <c r="E83" s="11">
        <v>683</v>
      </c>
      <c r="F83" s="3">
        <v>1</v>
      </c>
      <c r="G83" s="3" t="s">
        <v>262</v>
      </c>
    </row>
    <row r="84" spans="1:7" x14ac:dyDescent="0.25">
      <c r="A84" t="s">
        <v>118</v>
      </c>
      <c r="C84" t="s">
        <v>136</v>
      </c>
      <c r="D84" s="7" t="s">
        <v>137</v>
      </c>
    </row>
    <row r="85" spans="1:7" s="3" customFormat="1" ht="30" x14ac:dyDescent="0.25">
      <c r="A85" s="3" t="s">
        <v>51</v>
      </c>
      <c r="B85" s="3" t="s">
        <v>57</v>
      </c>
      <c r="C85" s="3" t="s">
        <v>56</v>
      </c>
      <c r="D85" s="8" t="s">
        <v>256</v>
      </c>
      <c r="E85" s="11">
        <v>52</v>
      </c>
      <c r="F85" s="3">
        <v>1</v>
      </c>
      <c r="G85" s="3" t="s">
        <v>262</v>
      </c>
    </row>
    <row r="86" spans="1:7" x14ac:dyDescent="0.25">
      <c r="A86" t="s">
        <v>51</v>
      </c>
      <c r="B86" t="s">
        <v>54</v>
      </c>
      <c r="C86" t="s">
        <v>53</v>
      </c>
    </row>
    <row r="87" spans="1:7" x14ac:dyDescent="0.25">
      <c r="A87" t="s">
        <v>51</v>
      </c>
      <c r="B87" t="s">
        <v>57</v>
      </c>
      <c r="C87" t="s">
        <v>56</v>
      </c>
    </row>
    <row r="88" spans="1:7" x14ac:dyDescent="0.25">
      <c r="A88" t="s">
        <v>51</v>
      </c>
      <c r="C88" t="s">
        <v>55</v>
      </c>
    </row>
    <row r="89" spans="1:7" x14ac:dyDescent="0.25">
      <c r="A89" t="s">
        <v>51</v>
      </c>
      <c r="B89" t="s">
        <v>52</v>
      </c>
    </row>
    <row r="90" spans="1:7" s="3" customFormat="1" ht="30" x14ac:dyDescent="0.25">
      <c r="A90" s="3" t="s">
        <v>94</v>
      </c>
      <c r="B90" s="3" t="s">
        <v>214</v>
      </c>
      <c r="C90" s="3" t="s">
        <v>213</v>
      </c>
      <c r="D90" s="8" t="s">
        <v>280</v>
      </c>
      <c r="E90" s="11">
        <v>428</v>
      </c>
      <c r="F90" s="3">
        <v>1</v>
      </c>
      <c r="G90" s="3" t="s">
        <v>262</v>
      </c>
    </row>
    <row r="91" spans="1:7" x14ac:dyDescent="0.25">
      <c r="A91" t="s">
        <v>101</v>
      </c>
      <c r="C91" t="s">
        <v>136</v>
      </c>
      <c r="D91" s="7" t="s">
        <v>137</v>
      </c>
    </row>
    <row r="92" spans="1:7" x14ac:dyDescent="0.25">
      <c r="A92" t="s">
        <v>102</v>
      </c>
      <c r="C92" t="s">
        <v>136</v>
      </c>
      <c r="D92" s="7" t="s">
        <v>137</v>
      </c>
    </row>
    <row r="93" spans="1:7" x14ac:dyDescent="0.25">
      <c r="A93" t="s">
        <v>107</v>
      </c>
      <c r="C93" t="s">
        <v>136</v>
      </c>
      <c r="D93" s="7" t="s">
        <v>137</v>
      </c>
    </row>
    <row r="94" spans="1:7" s="3" customFormat="1" ht="30" x14ac:dyDescent="0.25">
      <c r="A94" s="3" t="s">
        <v>131</v>
      </c>
      <c r="B94" s="3" t="s">
        <v>217</v>
      </c>
      <c r="C94" s="3" t="s">
        <v>216</v>
      </c>
      <c r="D94" s="8" t="s">
        <v>281</v>
      </c>
      <c r="E94" s="11">
        <v>909</v>
      </c>
      <c r="F94" s="3">
        <v>1</v>
      </c>
      <c r="G94" s="3" t="s">
        <v>262</v>
      </c>
    </row>
    <row r="95" spans="1:7" s="3" customFormat="1" ht="30" x14ac:dyDescent="0.25">
      <c r="A95" s="3" t="s">
        <v>132</v>
      </c>
      <c r="B95" s="3" t="s">
        <v>219</v>
      </c>
      <c r="C95" s="3" t="s">
        <v>218</v>
      </c>
      <c r="D95" s="8" t="s">
        <v>282</v>
      </c>
      <c r="E95" s="11">
        <v>38</v>
      </c>
      <c r="F95" s="3">
        <v>1</v>
      </c>
      <c r="G95" s="3" t="s">
        <v>262</v>
      </c>
    </row>
    <row r="96" spans="1:7" x14ac:dyDescent="0.25">
      <c r="A96" t="s">
        <v>18</v>
      </c>
      <c r="C96" t="s">
        <v>17</v>
      </c>
    </row>
    <row r="97" spans="1:7" x14ac:dyDescent="0.25">
      <c r="A97" t="s">
        <v>18</v>
      </c>
      <c r="C97" t="s">
        <v>220</v>
      </c>
      <c r="D97" s="7" t="s">
        <v>145</v>
      </c>
    </row>
    <row r="98" spans="1:7" s="3" customFormat="1" x14ac:dyDescent="0.25">
      <c r="A98" s="3" t="s">
        <v>18</v>
      </c>
      <c r="B98" s="3" t="s">
        <v>221</v>
      </c>
      <c r="C98" s="3" t="s">
        <v>222</v>
      </c>
      <c r="D98" s="8" t="s">
        <v>160</v>
      </c>
      <c r="E98" s="11">
        <v>360</v>
      </c>
      <c r="F98" s="3">
        <v>1</v>
      </c>
      <c r="G98" s="3" t="s">
        <v>262</v>
      </c>
    </row>
    <row r="99" spans="1:7" x14ac:dyDescent="0.25">
      <c r="A99" t="s">
        <v>79</v>
      </c>
      <c r="C99" t="s">
        <v>224</v>
      </c>
      <c r="D99" s="7" t="s">
        <v>225</v>
      </c>
    </row>
    <row r="100" spans="1:7" x14ac:dyDescent="0.25">
      <c r="A100" t="s">
        <v>31</v>
      </c>
      <c r="B100" t="s">
        <v>34</v>
      </c>
      <c r="C100" t="s">
        <v>33</v>
      </c>
      <c r="D100" s="7" t="s">
        <v>145</v>
      </c>
    </row>
    <row r="101" spans="1:7" x14ac:dyDescent="0.25">
      <c r="A101" t="s">
        <v>31</v>
      </c>
      <c r="B101" t="s">
        <v>227</v>
      </c>
      <c r="C101" t="s">
        <v>226</v>
      </c>
      <c r="D101" s="7" t="s">
        <v>228</v>
      </c>
    </row>
    <row r="102" spans="1:7" s="3" customFormat="1" x14ac:dyDescent="0.25">
      <c r="A102" s="3" t="s">
        <v>31</v>
      </c>
      <c r="B102" s="3" t="s">
        <v>229</v>
      </c>
      <c r="C102" s="3" t="s">
        <v>230</v>
      </c>
      <c r="D102" s="8" t="s">
        <v>160</v>
      </c>
      <c r="E102" s="11">
        <v>400</v>
      </c>
      <c r="F102" s="3">
        <v>1</v>
      </c>
      <c r="G102" s="3" t="s">
        <v>262</v>
      </c>
    </row>
    <row r="103" spans="1:7" s="3" customFormat="1" ht="30" x14ac:dyDescent="0.25">
      <c r="A103" s="3" t="s">
        <v>75</v>
      </c>
      <c r="B103" s="3" t="s">
        <v>232</v>
      </c>
      <c r="C103" s="3" t="s">
        <v>231</v>
      </c>
      <c r="D103" s="8" t="s">
        <v>283</v>
      </c>
      <c r="E103" s="11">
        <v>296</v>
      </c>
      <c r="F103" s="3">
        <v>1</v>
      </c>
      <c r="G103" s="3" t="s">
        <v>262</v>
      </c>
    </row>
    <row r="104" spans="1:7" s="3" customFormat="1" ht="30" x14ac:dyDescent="0.25">
      <c r="A104" s="3" t="s">
        <v>123</v>
      </c>
      <c r="B104" s="3" t="s">
        <v>234</v>
      </c>
      <c r="C104" s="3" t="s">
        <v>233</v>
      </c>
      <c r="D104" s="8" t="s">
        <v>285</v>
      </c>
      <c r="E104" s="11">
        <v>36</v>
      </c>
      <c r="F104" s="3">
        <v>1</v>
      </c>
      <c r="G104" s="3" t="s">
        <v>262</v>
      </c>
    </row>
    <row r="105" spans="1:7" x14ac:dyDescent="0.25">
      <c r="A105" t="s">
        <v>104</v>
      </c>
      <c r="C105" t="s">
        <v>136</v>
      </c>
      <c r="D105" s="7" t="s">
        <v>137</v>
      </c>
    </row>
    <row r="106" spans="1:7" x14ac:dyDescent="0.25">
      <c r="A106" t="s">
        <v>27</v>
      </c>
      <c r="B106" t="s">
        <v>64</v>
      </c>
      <c r="C106" t="s">
        <v>65</v>
      </c>
      <c r="D106" s="7" t="s">
        <v>142</v>
      </c>
    </row>
    <row r="107" spans="1:7" x14ac:dyDescent="0.25">
      <c r="A107" t="s">
        <v>95</v>
      </c>
      <c r="D107" s="7" t="s">
        <v>235</v>
      </c>
    </row>
    <row r="108" spans="1:7" x14ac:dyDescent="0.25">
      <c r="A108" t="s">
        <v>23</v>
      </c>
      <c r="D108" s="7" t="s">
        <v>236</v>
      </c>
    </row>
    <row r="109" spans="1:7" x14ac:dyDescent="0.25">
      <c r="A109" t="s">
        <v>32</v>
      </c>
      <c r="C109" t="s">
        <v>237</v>
      </c>
      <c r="D109" s="7" t="s">
        <v>238</v>
      </c>
    </row>
    <row r="110" spans="1:7" x14ac:dyDescent="0.25">
      <c r="A110" t="s">
        <v>80</v>
      </c>
      <c r="C110" t="s">
        <v>136</v>
      </c>
      <c r="D110" s="7" t="s">
        <v>137</v>
      </c>
    </row>
    <row r="111" spans="1:7" x14ac:dyDescent="0.25">
      <c r="A111" t="s">
        <v>97</v>
      </c>
      <c r="C111" t="s">
        <v>136</v>
      </c>
      <c r="D111" s="7" t="s">
        <v>137</v>
      </c>
    </row>
    <row r="112" spans="1:7" x14ac:dyDescent="0.25">
      <c r="A112" t="s">
        <v>10</v>
      </c>
      <c r="C112" t="s">
        <v>14</v>
      </c>
    </row>
    <row r="113" spans="1:7" s="3" customFormat="1" ht="30" x14ac:dyDescent="0.25">
      <c r="A113" s="3" t="s">
        <v>10</v>
      </c>
      <c r="B113" s="3" t="s">
        <v>240</v>
      </c>
      <c r="C113" s="3" t="s">
        <v>11</v>
      </c>
      <c r="D113" s="8" t="s">
        <v>284</v>
      </c>
      <c r="E113" s="11">
        <v>117</v>
      </c>
      <c r="F113" s="3">
        <v>1</v>
      </c>
      <c r="G113" s="3" t="s">
        <v>262</v>
      </c>
    </row>
    <row r="114" spans="1:7" x14ac:dyDescent="0.25">
      <c r="A114" t="s">
        <v>10</v>
      </c>
      <c r="C114" t="s">
        <v>13</v>
      </c>
    </row>
    <row r="115" spans="1:7" x14ac:dyDescent="0.25">
      <c r="A115" t="s">
        <v>10</v>
      </c>
      <c r="C115" t="s">
        <v>12</v>
      </c>
    </row>
    <row r="116" spans="1:7" s="3" customFormat="1" x14ac:dyDescent="0.25">
      <c r="A116" s="3" t="s">
        <v>9</v>
      </c>
      <c r="C116" s="3" t="s">
        <v>6</v>
      </c>
      <c r="D116" s="8"/>
      <c r="E116" s="11">
        <v>1218</v>
      </c>
      <c r="F116" s="3">
        <v>1</v>
      </c>
    </row>
    <row r="117" spans="1:7" s="3" customFormat="1" x14ac:dyDescent="0.25">
      <c r="A117" s="3" t="s">
        <v>9</v>
      </c>
      <c r="C117" s="3" t="s">
        <v>7</v>
      </c>
      <c r="D117" s="8"/>
      <c r="E117" s="11"/>
    </row>
    <row r="118" spans="1:7" s="3" customFormat="1" x14ac:dyDescent="0.25">
      <c r="A118" s="3" t="s">
        <v>9</v>
      </c>
      <c r="C118" s="3" t="s">
        <v>5</v>
      </c>
      <c r="D118" s="8"/>
      <c r="E118" s="11"/>
    </row>
    <row r="119" spans="1:7" s="3" customFormat="1" x14ac:dyDescent="0.25">
      <c r="A119" s="3" t="s">
        <v>9</v>
      </c>
      <c r="C119" s="3" t="s">
        <v>8</v>
      </c>
      <c r="D119" s="8"/>
      <c r="E119" s="11"/>
    </row>
    <row r="120" spans="1:7" x14ac:dyDescent="0.25">
      <c r="A120" t="s">
        <v>124</v>
      </c>
      <c r="C120" t="s">
        <v>239</v>
      </c>
      <c r="D120" s="7" t="s">
        <v>238</v>
      </c>
    </row>
    <row r="121" spans="1:7" x14ac:dyDescent="0.25">
      <c r="A121" t="s">
        <v>161</v>
      </c>
      <c r="B121" t="s">
        <v>163</v>
      </c>
      <c r="C121" t="s">
        <v>162</v>
      </c>
      <c r="D121" s="7" t="s">
        <v>164</v>
      </c>
    </row>
    <row r="122" spans="1:7" x14ac:dyDescent="0.25">
      <c r="A122" t="s">
        <v>165</v>
      </c>
      <c r="B122" s="1" t="s">
        <v>166</v>
      </c>
      <c r="C122" t="s">
        <v>167</v>
      </c>
      <c r="D122" s="7" t="s">
        <v>164</v>
      </c>
    </row>
    <row r="123" spans="1:7" x14ac:dyDescent="0.25">
      <c r="A123" t="s">
        <v>169</v>
      </c>
      <c r="B123" t="s">
        <v>168</v>
      </c>
      <c r="D123" s="7" t="s">
        <v>164</v>
      </c>
    </row>
    <row r="124" spans="1:7" x14ac:dyDescent="0.25">
      <c r="A124" t="s">
        <v>246</v>
      </c>
      <c r="B124" t="s">
        <v>247</v>
      </c>
      <c r="D124" s="7" t="s">
        <v>164</v>
      </c>
    </row>
    <row r="125" spans="1:7" x14ac:dyDescent="0.25">
      <c r="A125" t="s">
        <v>268</v>
      </c>
      <c r="D125" s="7" t="s">
        <v>164</v>
      </c>
    </row>
    <row r="126" spans="1:7" x14ac:dyDescent="0.25">
      <c r="A126" t="s">
        <v>269</v>
      </c>
      <c r="D126" s="7" t="s">
        <v>164</v>
      </c>
    </row>
    <row r="127" spans="1:7" x14ac:dyDescent="0.25">
      <c r="A127" t="s">
        <v>39</v>
      </c>
      <c r="C127" t="s">
        <v>40</v>
      </c>
      <c r="D127" s="7" t="s">
        <v>164</v>
      </c>
    </row>
    <row r="128" spans="1:7" x14ac:dyDescent="0.25">
      <c r="E128" s="13">
        <f>SUM(E2:E123)</f>
        <v>18101</v>
      </c>
      <c r="F128" s="5" t="s">
        <v>215</v>
      </c>
    </row>
    <row r="129" spans="5:6" x14ac:dyDescent="0.25">
      <c r="E129" s="13">
        <f>SUM(F2:F123)</f>
        <v>40</v>
      </c>
      <c r="F129" s="5" t="s">
        <v>241</v>
      </c>
    </row>
  </sheetData>
  <sortState xmlns:xlrd2="http://schemas.microsoft.com/office/spreadsheetml/2017/richdata2" ref="A2:D120">
    <sortCondition ref="A2:A120"/>
    <sortCondition ref="C2:C120"/>
  </sortState>
  <hyperlinks>
    <hyperlink ref="B122" r:id="rId1" xr:uid="{86A33A3B-22B9-43A2-8CE0-011267E52D14}"/>
    <hyperlink ref="B32" r:id="rId2" xr:uid="{FB209BDA-41BD-45F8-A916-8086AFD4E4D1}"/>
    <hyperlink ref="B67" r:id="rId3" xr:uid="{698A0B63-529A-4336-92B6-5976A23AAC8F}"/>
    <hyperlink ref="B28" r:id="rId4" xr:uid="{E45E1430-16DD-43DA-A38A-1FD9044C4E4C}"/>
  </hyperlinks>
  <pageMargins left="0.7" right="0.7" top="0.75" bottom="0.75" header="0.3" footer="0.3"/>
  <pageSetup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Miles Roberts</dc:creator>
  <cp:lastModifiedBy>Miles Roberts</cp:lastModifiedBy>
  <dcterms:created xsi:type="dcterms:W3CDTF">2015-06-05T18:17:20Z</dcterms:created>
  <dcterms:modified xsi:type="dcterms:W3CDTF">2022-10-20T18:12:58Z</dcterms:modified>
</cp:coreProperties>
</file>